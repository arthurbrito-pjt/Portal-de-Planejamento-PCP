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tavio.sousa\Downloads\"/>
    </mc:Choice>
  </mc:AlternateContent>
  <xr:revisionPtr revIDLastSave="0" documentId="8_{00882585-9401-40A0-9284-EACAFF0B557C}" xr6:coauthVersionLast="47" xr6:coauthVersionMax="47" xr10:uidLastSave="{00000000-0000-0000-0000-000000000000}"/>
  <bookViews>
    <workbookView xWindow="28680" yWindow="-120" windowWidth="29040" windowHeight="15720" xr2:uid="{87950573-C694-4161-A315-FD4D23CA4F94}"/>
  </bookViews>
  <sheets>
    <sheet name="BLANK PERF-CQP" sheetId="1" r:id="rId1"/>
  </sheets>
  <definedNames>
    <definedName name="AA">WEEKDAY(DATE(Ano,11,1))</definedName>
    <definedName name="Ano">#REF!</definedName>
    <definedName name="InícioDeDez">WEEKDAY(DATE(Ano,12,1))</definedName>
    <definedName name="InícioDeJan">WEEKDAY(DATE(Ano,1,1))</definedName>
    <definedName name="InícioDeNov">WEEKDAY(DATE(Ano,11,1))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U90" i="1" l="1"/>
  <c r="U89" i="1"/>
  <c r="U88" i="1"/>
  <c r="U87" i="1"/>
  <c r="U86" i="1"/>
  <c r="U85" i="1"/>
  <c r="U84" i="1"/>
  <c r="U83" i="1"/>
  <c r="U82" i="1"/>
  <c r="U81" i="1"/>
  <c r="U80" i="1"/>
  <c r="U79" i="1"/>
  <c r="U78" i="1"/>
  <c r="U77" i="1"/>
  <c r="U76" i="1"/>
  <c r="U75" i="1"/>
  <c r="U74" i="1"/>
  <c r="U73" i="1"/>
  <c r="U72" i="1"/>
  <c r="U71" i="1"/>
  <c r="U70" i="1"/>
  <c r="U69" i="1"/>
  <c r="U68" i="1"/>
  <c r="U67" i="1"/>
  <c r="U50" i="1"/>
  <c r="U49" i="1"/>
  <c r="U48" i="1"/>
  <c r="U47" i="1"/>
  <c r="U46" i="1"/>
  <c r="U45" i="1"/>
  <c r="U44" i="1"/>
  <c r="U43" i="1"/>
  <c r="U42" i="1"/>
  <c r="U41" i="1"/>
  <c r="U40" i="1"/>
  <c r="U39" i="1"/>
  <c r="U38" i="1"/>
  <c r="U37" i="1"/>
  <c r="U36" i="1"/>
  <c r="U35" i="1"/>
  <c r="U34" i="1"/>
  <c r="U33" i="1"/>
  <c r="U32" i="1"/>
  <c r="U31" i="1"/>
  <c r="U30" i="1"/>
  <c r="U29" i="1"/>
  <c r="U28" i="1"/>
  <c r="U26" i="1"/>
  <c r="U25" i="1"/>
  <c r="U24" i="1"/>
  <c r="U23" i="1"/>
  <c r="U22" i="1"/>
  <c r="U21" i="1"/>
  <c r="U20" i="1"/>
  <c r="U19" i="1"/>
  <c r="U18" i="1"/>
  <c r="U17" i="1"/>
  <c r="U16" i="1"/>
  <c r="U15" i="1"/>
  <c r="U14" i="1"/>
  <c r="U13" i="1"/>
  <c r="U12" i="1"/>
  <c r="U11" i="1"/>
  <c r="U10" i="1"/>
  <c r="U9" i="1"/>
  <c r="U8" i="1"/>
  <c r="U7" i="1"/>
  <c r="U6" i="1"/>
  <c r="U5" i="1"/>
  <c r="U4" i="1"/>
  <c r="U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Otávio Nascimento Sousa</author>
  </authors>
  <commentList>
    <comment ref="H14" authorId="0" shapeId="0" xr:uid="{4AA3E06B-4520-4005-899E-A7E6CAD8A430}">
      <text>
        <r>
          <rPr>
            <b/>
            <sz val="9"/>
            <color indexed="81"/>
            <rFont val="Segoe UI"/>
            <family val="2"/>
          </rPr>
          <t>Otávio Nascimento Sousa:</t>
        </r>
        <r>
          <rPr>
            <sz val="9"/>
            <color indexed="81"/>
            <rFont val="Segoe UI"/>
            <family val="2"/>
          </rPr>
          <t xml:space="preserve">
189</t>
        </r>
      </text>
    </comment>
    <comment ref="F15" authorId="0" shapeId="0" xr:uid="{D6B1F6E5-C0D8-427D-A2AC-96E9B01C9C7B}">
      <text>
        <r>
          <rPr>
            <b/>
            <sz val="9"/>
            <color indexed="81"/>
            <rFont val="Segoe UI"/>
            <family val="2"/>
          </rPr>
          <t>Otávio Nascimento Sousa:</t>
        </r>
        <r>
          <rPr>
            <sz val="9"/>
            <color indexed="81"/>
            <rFont val="Segoe UI"/>
            <family val="2"/>
          </rPr>
          <t xml:space="preserve">
210</t>
        </r>
      </text>
    </comment>
    <comment ref="G15" authorId="0" shapeId="0" xr:uid="{9B894158-45A2-4232-8BAD-DBC2A71BF77B}">
      <text>
        <r>
          <rPr>
            <b/>
            <sz val="9"/>
            <color indexed="81"/>
            <rFont val="Segoe UI"/>
            <family val="2"/>
          </rPr>
          <t>Otávio Nascimento Sousa:</t>
        </r>
        <r>
          <rPr>
            <sz val="9"/>
            <color indexed="81"/>
            <rFont val="Segoe UI"/>
            <family val="2"/>
          </rPr>
          <t xml:space="preserve">
210</t>
        </r>
      </text>
    </comment>
    <comment ref="H15" authorId="0" shapeId="0" xr:uid="{8D99D4B4-AFB2-4D3A-B72F-26E9526D303F}">
      <text>
        <r>
          <rPr>
            <b/>
            <sz val="9"/>
            <color indexed="81"/>
            <rFont val="Segoe UI"/>
            <family val="2"/>
          </rPr>
          <t>Otávio Nascimento Sousa:</t>
        </r>
        <r>
          <rPr>
            <sz val="9"/>
            <color indexed="81"/>
            <rFont val="Segoe UI"/>
            <family val="2"/>
          </rPr>
          <t xml:space="preserve">
210</t>
        </r>
      </text>
    </comment>
    <comment ref="C26" authorId="0" shapeId="0" xr:uid="{3AEBBD40-7AC6-4B0E-BFBE-F574FC0152EE}">
      <text>
        <r>
          <rPr>
            <b/>
            <sz val="9"/>
            <color indexed="81"/>
            <rFont val="Segoe UI"/>
            <charset val="1"/>
          </rPr>
          <t>Otávio Nascimento Sousa:</t>
        </r>
        <r>
          <rPr>
            <sz val="9"/>
            <color indexed="81"/>
            <rFont val="Segoe UI"/>
            <charset val="1"/>
          </rPr>
          <t xml:space="preserve">
366
</t>
        </r>
      </text>
    </comment>
    <comment ref="D26" authorId="0" shapeId="0" xr:uid="{5EEC4C36-CA01-454E-AB89-9CC1073E9C6C}">
      <text>
        <r>
          <rPr>
            <b/>
            <sz val="9"/>
            <color indexed="81"/>
            <rFont val="Segoe UI"/>
            <charset val="1"/>
          </rPr>
          <t>Otávio Nascimento Sousa:</t>
        </r>
        <r>
          <rPr>
            <sz val="9"/>
            <color indexed="81"/>
            <rFont val="Segoe UI"/>
            <charset val="1"/>
          </rPr>
          <t xml:space="preserve">
366
</t>
        </r>
      </text>
    </comment>
    <comment ref="E26" authorId="0" shapeId="0" xr:uid="{74C24A8F-E81F-452B-B6E4-E94E0D3103D9}">
      <text>
        <r>
          <rPr>
            <b/>
            <sz val="9"/>
            <color indexed="81"/>
            <rFont val="Segoe UI"/>
            <charset val="1"/>
          </rPr>
          <t>Otávio Nascimento Sousa:</t>
        </r>
        <r>
          <rPr>
            <sz val="9"/>
            <color indexed="81"/>
            <rFont val="Segoe UI"/>
            <charset val="1"/>
          </rPr>
          <t xml:space="preserve">
366
</t>
        </r>
      </text>
    </comment>
    <comment ref="F26" authorId="0" shapeId="0" xr:uid="{7EDF49D5-1785-434F-82F2-8A065602F4B6}">
      <text>
        <r>
          <rPr>
            <b/>
            <sz val="9"/>
            <color indexed="81"/>
            <rFont val="Segoe UI"/>
            <charset val="1"/>
          </rPr>
          <t>Otávio Nascimento Sousa:</t>
        </r>
        <r>
          <rPr>
            <sz val="9"/>
            <color indexed="81"/>
            <rFont val="Segoe UI"/>
            <charset val="1"/>
          </rPr>
          <t xml:space="preserve">
366
</t>
        </r>
      </text>
    </comment>
    <comment ref="G26" authorId="0" shapeId="0" xr:uid="{81EB785C-97AE-4516-8E28-B5FF7AD2DC7D}">
      <text>
        <r>
          <rPr>
            <b/>
            <sz val="9"/>
            <color indexed="81"/>
            <rFont val="Segoe UI"/>
            <charset val="1"/>
          </rPr>
          <t>Otávio Nascimento Sousa:</t>
        </r>
        <r>
          <rPr>
            <sz val="9"/>
            <color indexed="81"/>
            <rFont val="Segoe UI"/>
            <charset val="1"/>
          </rPr>
          <t xml:space="preserve">
366
</t>
        </r>
      </text>
    </comment>
    <comment ref="H26" authorId="0" shapeId="0" xr:uid="{6C9F30BC-353A-4533-B51A-1173D1CA9DCA}">
      <text>
        <r>
          <rPr>
            <b/>
            <sz val="9"/>
            <color indexed="81"/>
            <rFont val="Segoe UI"/>
            <charset val="1"/>
          </rPr>
          <t>Otávio Nascimento Sousa:</t>
        </r>
        <r>
          <rPr>
            <sz val="9"/>
            <color indexed="81"/>
            <rFont val="Segoe UI"/>
            <charset val="1"/>
          </rPr>
          <t xml:space="preserve">
366
</t>
        </r>
      </text>
    </comment>
  </commentList>
</comments>
</file>

<file path=xl/sharedStrings.xml><?xml version="1.0" encoding="utf-8"?>
<sst xmlns="http://schemas.openxmlformats.org/spreadsheetml/2006/main" count="110" uniqueCount="89">
  <si>
    <t>TABELA DE BLANKS ATUALIZADOS 2026 - PERFIL</t>
  </si>
  <si>
    <t>OBSERVAÇÃO:</t>
  </si>
  <si>
    <t>CÁLCULO DE BLANK</t>
  </si>
  <si>
    <t xml:space="preserve">ESPESSURAS </t>
  </si>
  <si>
    <t xml:space="preserve">- Pode ser feito alteração de ± 1mm para qualquer blank
- Alteração de ± 2mm só pode ser realizada mediante aprovação do coordenador ou do CQP </t>
  </si>
  <si>
    <t>Item</t>
  </si>
  <si>
    <t>Descrição</t>
  </si>
  <si>
    <t>blank</t>
  </si>
  <si>
    <t>PERFIS</t>
  </si>
  <si>
    <t>SLT11090</t>
  </si>
  <si>
    <t>45 x 17</t>
  </si>
  <si>
    <t>SLT11095</t>
  </si>
  <si>
    <t>50 x 25</t>
  </si>
  <si>
    <t>As que estão em Amarelo foi alterado mediante o CQP.</t>
  </si>
  <si>
    <t>SLT11100</t>
  </si>
  <si>
    <t>50 x 25 x 10</t>
  </si>
  <si>
    <t>SLT11105</t>
  </si>
  <si>
    <t>68 x 30</t>
  </si>
  <si>
    <t>SLT11110</t>
  </si>
  <si>
    <t>75 x 40</t>
  </si>
  <si>
    <t>SLT11115</t>
  </si>
  <si>
    <t>75 x 40 x 15</t>
  </si>
  <si>
    <t>SLT11120</t>
  </si>
  <si>
    <t>92 x 30</t>
  </si>
  <si>
    <t>SLT11125</t>
  </si>
  <si>
    <t>92 x 40</t>
  </si>
  <si>
    <t>SLT11130</t>
  </si>
  <si>
    <t>100 x 40</t>
  </si>
  <si>
    <t>SLT11135</t>
  </si>
  <si>
    <t>100 x 40 x 17</t>
  </si>
  <si>
    <t>SLT11140</t>
  </si>
  <si>
    <t>100 x 50</t>
  </si>
  <si>
    <t>SLT11145</t>
  </si>
  <si>
    <t>100 x 50 x 17</t>
  </si>
  <si>
    <t>SLT11150</t>
  </si>
  <si>
    <t>120 x 30</t>
  </si>
  <si>
    <t>120 x 40</t>
  </si>
  <si>
    <t>120 x 50</t>
  </si>
  <si>
    <t>127 x 50</t>
  </si>
  <si>
    <t>SLT11155</t>
  </si>
  <si>
    <t>127 x 50 x 17</t>
  </si>
  <si>
    <t>SLT11160</t>
  </si>
  <si>
    <t>150 x 50</t>
  </si>
  <si>
    <t>SLT11165</t>
  </si>
  <si>
    <t>150 x 60 x 20</t>
  </si>
  <si>
    <t>SLT11168</t>
  </si>
  <si>
    <t>150 x 50 x 20</t>
  </si>
  <si>
    <t>SLT11170</t>
  </si>
  <si>
    <t>200 x 50</t>
  </si>
  <si>
    <t>SLT11175</t>
  </si>
  <si>
    <t>200 x 60 x 20</t>
  </si>
  <si>
    <t>SLT11176</t>
  </si>
  <si>
    <t>200 x 75 x 20</t>
  </si>
  <si>
    <t>SLT11177</t>
  </si>
  <si>
    <t>210 X 30 X 15</t>
  </si>
  <si>
    <t>SLT11360</t>
  </si>
  <si>
    <t>SLT11365</t>
  </si>
  <si>
    <t>SLT11370</t>
  </si>
  <si>
    <t>SLT11375</t>
  </si>
  <si>
    <t>SLT11380</t>
  </si>
  <si>
    <t>SLT11385</t>
  </si>
  <si>
    <t>SLT11390</t>
  </si>
  <si>
    <t>SLT11395</t>
  </si>
  <si>
    <t>SLT11400</t>
  </si>
  <si>
    <t>SLT11405</t>
  </si>
  <si>
    <t>SLT11410</t>
  </si>
  <si>
    <t>SLT11415</t>
  </si>
  <si>
    <t>SLT11420</t>
  </si>
  <si>
    <t>SLT11425</t>
  </si>
  <si>
    <t>SLT11430</t>
  </si>
  <si>
    <t>SLT11435</t>
  </si>
  <si>
    <t>SLT11437</t>
  </si>
  <si>
    <t>SLT11440</t>
  </si>
  <si>
    <t>SLT11445</t>
  </si>
  <si>
    <t>SLT11447</t>
  </si>
  <si>
    <t>SLT11450</t>
  </si>
  <si>
    <t>SLT11452</t>
  </si>
  <si>
    <t>SLT11455</t>
  </si>
  <si>
    <t>SLT11460</t>
  </si>
  <si>
    <t>SLT11462</t>
  </si>
  <si>
    <t>SLT11465</t>
  </si>
  <si>
    <t>SLT11470</t>
  </si>
  <si>
    <t>SLT11475</t>
  </si>
  <si>
    <t>SLT11480</t>
  </si>
  <si>
    <t>SLT11490</t>
  </si>
  <si>
    <t>SLT11495</t>
  </si>
  <si>
    <t>SLT11500</t>
  </si>
  <si>
    <t>SLT11505</t>
  </si>
  <si>
    <t>SLT11510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</si>
</sst>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Arial"/>
      <family val="2"/>
    </font>
    <font>
      <b/>
      <sz val="13"/>
      <color theme="1"/>
      <name val="Arial"/>
      <family val="2"/>
    </font>
    <font>
      <b/>
      <sz val="12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rgb="FF000000"/>
      <name val="Calibri"/>
      <family val="2"/>
    </font>
    <font>
      <sz val="12"/>
      <color theme="1"/>
      <name val="Arial"/>
      <family val="2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b/>
      <sz val="9"/>
      <color indexed="81"/>
      <name val="Segoe UI"/>
      <charset val="1"/>
    </font>
    <font>
      <sz val="9"/>
      <color indexed="81"/>
      <name val="Segoe UI"/>
      <charset val="1"/>
    </font>
  </fonts>
  <fills count="8">
    <fill>
      <patternFill patternType="none"/>
    </fill>
    <fill>
      <patternFill patternType="gray125"/>
    </fill>
    <fill>
      <patternFill patternType="solid">
        <fgColor rgb="FFFCEC74"/>
        <bgColor indexed="64"/>
      </patternFill>
    </fill>
    <fill>
      <gradientFill degree="135">
        <stop position="0">
          <color theme="9" tint="0.59999389629810485"/>
        </stop>
        <stop position="1">
          <color theme="5" tint="0.59999389629810485"/>
        </stop>
      </gradient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1" fillId="0" borderId="0"/>
    <xf numFmtId="0" fontId="5" fillId="0" borderId="0"/>
    <xf numFmtId="0" fontId="1" fillId="0" borderId="0"/>
  </cellStyleXfs>
  <cellXfs count="45">
    <xf numFmtId="0" fontId="0" fillId="0" borderId="0" xfId="0"/>
    <xf numFmtId="0" fontId="1" fillId="0" borderId="0" xfId="1"/>
    <xf numFmtId="0" fontId="1" fillId="0" borderId="0" xfId="1" applyAlignment="1">
      <alignment horizontal="center"/>
    </xf>
    <xf numFmtId="0" fontId="1" fillId="3" borderId="5" xfId="1" applyFill="1" applyBorder="1"/>
    <xf numFmtId="0" fontId="5" fillId="0" borderId="0" xfId="2"/>
    <xf numFmtId="0" fontId="3" fillId="5" borderId="5" xfId="1" applyFont="1" applyFill="1" applyBorder="1" applyAlignment="1">
      <alignment horizontal="center" vertical="center"/>
    </xf>
    <xf numFmtId="2" fontId="3" fillId="4" borderId="6" xfId="1" applyNumberFormat="1" applyFont="1" applyFill="1" applyBorder="1" applyAlignment="1">
      <alignment horizontal="center" vertical="center"/>
    </xf>
    <xf numFmtId="2" fontId="3" fillId="4" borderId="7" xfId="1" applyNumberFormat="1" applyFont="1" applyFill="1" applyBorder="1" applyAlignment="1">
      <alignment horizontal="center" vertical="center"/>
    </xf>
    <xf numFmtId="2" fontId="3" fillId="4" borderId="8" xfId="1" applyNumberFormat="1" applyFont="1" applyFill="1" applyBorder="1" applyAlignment="1">
      <alignment horizontal="center" vertical="center"/>
    </xf>
    <xf numFmtId="0" fontId="6" fillId="0" borderId="1" xfId="3" applyFont="1" applyBorder="1"/>
    <xf numFmtId="0" fontId="3" fillId="5" borderId="5" xfId="1" applyFont="1" applyFill="1" applyBorder="1" applyAlignment="1">
      <alignment vertical="center"/>
    </xf>
    <xf numFmtId="0" fontId="7" fillId="6" borderId="6" xfId="1" applyFont="1" applyFill="1" applyBorder="1" applyAlignment="1">
      <alignment horizontal="center" vertical="center"/>
    </xf>
    <xf numFmtId="0" fontId="7" fillId="6" borderId="7" xfId="1" applyFont="1" applyFill="1" applyBorder="1" applyAlignment="1">
      <alignment horizontal="center" vertical="center"/>
    </xf>
    <xf numFmtId="0" fontId="7" fillId="6" borderId="8" xfId="1" applyFont="1" applyFill="1" applyBorder="1" applyAlignment="1">
      <alignment horizontal="center" vertical="center"/>
    </xf>
    <xf numFmtId="0" fontId="6" fillId="0" borderId="5" xfId="3" applyFont="1" applyBorder="1"/>
    <xf numFmtId="0" fontId="7" fillId="7" borderId="6" xfId="1" applyFont="1" applyFill="1" applyBorder="1" applyAlignment="1">
      <alignment horizontal="center" vertical="center"/>
    </xf>
    <xf numFmtId="0" fontId="6" fillId="0" borderId="15" xfId="3" applyFont="1" applyBorder="1"/>
    <xf numFmtId="0" fontId="3" fillId="5" borderId="15" xfId="1" applyFont="1" applyFill="1" applyBorder="1" applyAlignment="1">
      <alignment vertical="center"/>
    </xf>
    <xf numFmtId="0" fontId="7" fillId="6" borderId="16" xfId="1" applyFont="1" applyFill="1" applyBorder="1" applyAlignment="1">
      <alignment horizontal="center" vertical="center"/>
    </xf>
    <xf numFmtId="0" fontId="7" fillId="6" borderId="17" xfId="1" applyFont="1" applyFill="1" applyBorder="1" applyAlignment="1">
      <alignment horizontal="center" vertical="center"/>
    </xf>
    <xf numFmtId="0" fontId="7" fillId="6" borderId="18" xfId="1" applyFont="1" applyFill="1" applyBorder="1" applyAlignment="1">
      <alignment horizontal="center" vertical="center"/>
    </xf>
    <xf numFmtId="0" fontId="6" fillId="0" borderId="2" xfId="3" applyFont="1" applyBorder="1"/>
    <xf numFmtId="0" fontId="6" fillId="0" borderId="6" xfId="3" applyFont="1" applyBorder="1"/>
    <xf numFmtId="0" fontId="6" fillId="0" borderId="19" xfId="3" applyFont="1" applyBorder="1"/>
    <xf numFmtId="0" fontId="6" fillId="0" borderId="16" xfId="3" applyFont="1" applyBorder="1"/>
    <xf numFmtId="0" fontId="2" fillId="2" borderId="1" xfId="1" applyFont="1" applyFill="1" applyBorder="1" applyAlignment="1">
      <alignment horizontal="center"/>
    </xf>
    <xf numFmtId="0" fontId="1" fillId="2" borderId="2" xfId="1" applyFill="1" applyBorder="1" applyAlignment="1">
      <alignment horizontal="center"/>
    </xf>
    <xf numFmtId="0" fontId="1" fillId="2" borderId="3" xfId="1" applyFill="1" applyBorder="1" applyAlignment="1">
      <alignment horizontal="center"/>
    </xf>
    <xf numFmtId="0" fontId="1" fillId="2" borderId="4" xfId="1" applyFill="1" applyBorder="1" applyAlignment="1">
      <alignment horizontal="center"/>
    </xf>
    <xf numFmtId="0" fontId="1" fillId="0" borderId="0" xfId="1" applyAlignment="1">
      <alignment horizontal="center"/>
    </xf>
    <xf numFmtId="0" fontId="3" fillId="4" borderId="6" xfId="1" applyFont="1" applyFill="1" applyBorder="1" applyAlignment="1">
      <alignment horizontal="center" vertical="center"/>
    </xf>
    <xf numFmtId="0" fontId="3" fillId="4" borderId="7" xfId="1" applyFont="1" applyFill="1" applyBorder="1" applyAlignment="1">
      <alignment horizontal="center" vertical="center"/>
    </xf>
    <xf numFmtId="0" fontId="3" fillId="4" borderId="8" xfId="1" applyFont="1" applyFill="1" applyBorder="1" applyAlignment="1">
      <alignment horizontal="center" vertical="center"/>
    </xf>
    <xf numFmtId="0" fontId="4" fillId="4" borderId="9" xfId="1" quotePrefix="1" applyFont="1" applyFill="1" applyBorder="1" applyAlignment="1">
      <alignment horizontal="left" vertical="center" wrapText="1"/>
    </xf>
    <xf numFmtId="0" fontId="4" fillId="4" borderId="10" xfId="1" quotePrefix="1" applyFont="1" applyFill="1" applyBorder="1" applyAlignment="1">
      <alignment horizontal="left" vertical="center" wrapText="1"/>
    </xf>
    <xf numFmtId="0" fontId="4" fillId="4" borderId="11" xfId="1" quotePrefix="1" applyFont="1" applyFill="1" applyBorder="1" applyAlignment="1">
      <alignment horizontal="left" vertical="center" wrapText="1"/>
    </xf>
    <xf numFmtId="0" fontId="4" fillId="4" borderId="12" xfId="1" quotePrefix="1" applyFont="1" applyFill="1" applyBorder="1" applyAlignment="1">
      <alignment horizontal="left" vertical="center" wrapText="1"/>
    </xf>
    <xf numFmtId="0" fontId="4" fillId="4" borderId="13" xfId="1" quotePrefix="1" applyFont="1" applyFill="1" applyBorder="1" applyAlignment="1">
      <alignment horizontal="left" vertical="center" wrapText="1"/>
    </xf>
    <xf numFmtId="0" fontId="4" fillId="4" borderId="14" xfId="1" quotePrefix="1" applyFont="1" applyFill="1" applyBorder="1" applyAlignment="1">
      <alignment horizontal="left" vertical="center" wrapText="1"/>
    </xf>
    <xf numFmtId="0" fontId="4" fillId="7" borderId="9" xfId="1" quotePrefix="1" applyFont="1" applyFill="1" applyBorder="1" applyAlignment="1">
      <alignment horizontal="left" vertical="center" wrapText="1"/>
    </xf>
    <xf numFmtId="0" fontId="4" fillId="7" borderId="10" xfId="1" quotePrefix="1" applyFont="1" applyFill="1" applyBorder="1" applyAlignment="1">
      <alignment horizontal="left" vertical="center" wrapText="1"/>
    </xf>
    <xf numFmtId="0" fontId="4" fillId="7" borderId="11" xfId="1" quotePrefix="1" applyFont="1" applyFill="1" applyBorder="1" applyAlignment="1">
      <alignment horizontal="left" vertical="center" wrapText="1"/>
    </xf>
    <xf numFmtId="0" fontId="4" fillId="7" borderId="12" xfId="1" quotePrefix="1" applyFont="1" applyFill="1" applyBorder="1" applyAlignment="1">
      <alignment horizontal="left" vertical="center" wrapText="1"/>
    </xf>
    <xf numFmtId="0" fontId="4" fillId="7" borderId="13" xfId="1" quotePrefix="1" applyFont="1" applyFill="1" applyBorder="1" applyAlignment="1">
      <alignment horizontal="left" vertical="center" wrapText="1"/>
    </xf>
    <xf numFmtId="0" fontId="4" fillId="7" borderId="14" xfId="1" quotePrefix="1" applyFont="1" applyFill="1" applyBorder="1" applyAlignment="1">
      <alignment horizontal="left" vertical="center" wrapText="1"/>
    </xf>
  </cellXfs>
  <cellStyles count="4">
    <cellStyle name="Normal" xfId="0" builtinId="0"/>
    <cellStyle name="Normal 2" xfId="2" xr:uid="{2DF40173-3BA7-4A88-B742-5F394DD1B9C4}"/>
    <cellStyle name="Normal 2 2 2" xfId="3" xr:uid="{867FD228-BFC7-4DC2-8325-1AFEBDE4857D}"/>
    <cellStyle name="Normal 9" xfId="1" xr:uid="{34AEFA64-C51D-4F99-92A8-B6962083021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0D986-2A3B-4BE2-A6C3-CB846BF454AF}">
  <dimension ref="B1:U90"/>
  <sheetViews>
    <sheetView showGridLines="0" tabSelected="1" zoomScale="85" zoomScaleNormal="85" workbookViewId="0">
      <selection activeCell="H9" sqref="H9"/>
    </sheetView>
  </sheetViews>
  <sheetFormatPr defaultColWidth="8.85546875" defaultRowHeight="14.45"/>
  <cols>
    <col min="1" max="1" width="9.140625" style="1" customWidth="1"/>
    <col min="2" max="2" width="21.42578125" style="1" customWidth="1"/>
    <col min="3" max="10" width="15.7109375" style="1" customWidth="1"/>
    <col min="11" max="11" width="7.140625" style="1" customWidth="1"/>
    <col min="12" max="12" width="18.140625" style="1" customWidth="1"/>
    <col min="13" max="13" width="21.85546875" style="1" customWidth="1"/>
    <col min="14" max="14" width="27.28515625" style="1" customWidth="1"/>
    <col min="15" max="15" width="11.42578125" style="1" customWidth="1"/>
    <col min="16" max="16384" width="8.85546875" style="1"/>
  </cols>
  <sheetData>
    <row r="1" spans="2:21" ht="24.95" customHeight="1">
      <c r="B1" s="25" t="s">
        <v>0</v>
      </c>
      <c r="C1" s="26"/>
      <c r="D1" s="26"/>
      <c r="E1" s="26"/>
      <c r="F1" s="26"/>
      <c r="G1" s="26"/>
      <c r="H1" s="27"/>
      <c r="I1" s="27"/>
      <c r="J1" s="28"/>
      <c r="L1" s="25" t="s">
        <v>1</v>
      </c>
      <c r="M1" s="26"/>
      <c r="N1" s="28"/>
      <c r="P1" s="29" t="s">
        <v>2</v>
      </c>
      <c r="Q1" s="29"/>
      <c r="R1" s="29"/>
      <c r="S1" s="29"/>
      <c r="T1" s="29"/>
      <c r="U1" s="29"/>
    </row>
    <row r="2" spans="2:21" ht="24.95" customHeight="1" thickBot="1">
      <c r="B2" s="3"/>
      <c r="C2" s="30" t="s">
        <v>3</v>
      </c>
      <c r="D2" s="30"/>
      <c r="E2" s="30"/>
      <c r="F2" s="30"/>
      <c r="G2" s="30"/>
      <c r="H2" s="31"/>
      <c r="I2" s="31"/>
      <c r="J2" s="32"/>
      <c r="L2" s="33" t="s">
        <v>4</v>
      </c>
      <c r="M2" s="34"/>
      <c r="N2" s="35"/>
      <c r="P2" s="2" t="s">
        <v>5</v>
      </c>
      <c r="Q2" s="2" t="s">
        <v>6</v>
      </c>
      <c r="R2" s="2"/>
      <c r="S2" s="2"/>
      <c r="T2" s="2"/>
      <c r="U2" s="4" t="s">
        <v>7</v>
      </c>
    </row>
    <row r="3" spans="2:21" ht="24.95" customHeight="1" thickBot="1">
      <c r="B3" s="5" t="s">
        <v>8</v>
      </c>
      <c r="C3" s="6">
        <v>1.8</v>
      </c>
      <c r="D3" s="6">
        <v>2</v>
      </c>
      <c r="E3" s="6">
        <v>2.25</v>
      </c>
      <c r="F3" s="6">
        <v>2.65</v>
      </c>
      <c r="G3" s="6">
        <v>3</v>
      </c>
      <c r="H3" s="7">
        <v>3.35</v>
      </c>
      <c r="I3" s="7">
        <v>3.75</v>
      </c>
      <c r="J3" s="8">
        <v>4.5</v>
      </c>
      <c r="L3" s="36"/>
      <c r="M3" s="37"/>
      <c r="N3" s="38"/>
      <c r="P3" s="9" t="s">
        <v>9</v>
      </c>
      <c r="Q3" s="4">
        <v>2</v>
      </c>
      <c r="R3" s="4">
        <v>45</v>
      </c>
      <c r="S3" s="4">
        <v>17</v>
      </c>
      <c r="T3" s="4"/>
      <c r="U3" s="4">
        <f>SUM(((R3+S3+S3)-(4*Q3))-1)</f>
        <v>70</v>
      </c>
    </row>
    <row r="4" spans="2:21" ht="24.95" customHeight="1">
      <c r="B4" s="10" t="s">
        <v>10</v>
      </c>
      <c r="C4" s="11">
        <v>70</v>
      </c>
      <c r="D4" s="11">
        <v>70</v>
      </c>
      <c r="E4" s="11">
        <v>70</v>
      </c>
      <c r="F4" s="11">
        <v>68</v>
      </c>
      <c r="G4" s="11">
        <v>68</v>
      </c>
      <c r="H4" s="11">
        <v>68</v>
      </c>
      <c r="I4" s="12">
        <v>61</v>
      </c>
      <c r="J4" s="13"/>
      <c r="P4" s="14" t="s">
        <v>11</v>
      </c>
      <c r="Q4" s="4">
        <v>2</v>
      </c>
      <c r="R4" s="4">
        <v>50</v>
      </c>
      <c r="S4" s="4">
        <v>25</v>
      </c>
      <c r="T4" s="4"/>
      <c r="U4" s="4">
        <f>SUM(((R4+S4+S4)-(4*Q4))-1)</f>
        <v>91</v>
      </c>
    </row>
    <row r="5" spans="2:21" ht="24.95" customHeight="1">
      <c r="B5" s="10" t="s">
        <v>12</v>
      </c>
      <c r="C5" s="11">
        <v>91</v>
      </c>
      <c r="D5" s="11">
        <v>91</v>
      </c>
      <c r="E5" s="11">
        <v>91</v>
      </c>
      <c r="F5" s="11">
        <v>89</v>
      </c>
      <c r="G5" s="11">
        <v>89</v>
      </c>
      <c r="H5" s="11">
        <v>89</v>
      </c>
      <c r="I5" s="12">
        <v>81</v>
      </c>
      <c r="J5" s="13">
        <v>81</v>
      </c>
      <c r="L5" s="39" t="s">
        <v>13</v>
      </c>
      <c r="M5" s="40"/>
      <c r="N5" s="41"/>
      <c r="P5" s="14" t="s">
        <v>14</v>
      </c>
      <c r="Q5" s="4">
        <v>2</v>
      </c>
      <c r="R5" s="4">
        <v>50</v>
      </c>
      <c r="S5" s="4">
        <v>25</v>
      </c>
      <c r="T5" s="4">
        <v>10</v>
      </c>
      <c r="U5" s="4">
        <f>SUM(((R5+S5+S5+T5+T5)-(8*Q5))-3)</f>
        <v>101</v>
      </c>
    </row>
    <row r="6" spans="2:21" ht="24.95" customHeight="1" thickBot="1">
      <c r="B6" s="10" t="s">
        <v>15</v>
      </c>
      <c r="C6" s="11">
        <v>101</v>
      </c>
      <c r="D6" s="11">
        <v>101</v>
      </c>
      <c r="E6" s="11">
        <v>101</v>
      </c>
      <c r="F6" s="11">
        <v>99</v>
      </c>
      <c r="G6" s="11">
        <v>99</v>
      </c>
      <c r="H6" s="11">
        <v>99</v>
      </c>
      <c r="I6" s="12">
        <v>84</v>
      </c>
      <c r="J6" s="13"/>
      <c r="L6" s="42"/>
      <c r="M6" s="43"/>
      <c r="N6" s="44"/>
      <c r="P6" s="14" t="s">
        <v>16</v>
      </c>
      <c r="Q6" s="4">
        <v>2</v>
      </c>
      <c r="R6" s="4">
        <v>68</v>
      </c>
      <c r="S6" s="4">
        <v>30</v>
      </c>
      <c r="T6" s="4"/>
      <c r="U6" s="4">
        <f>SUM(((R6+S6+S6)-(4*Q6))-1)</f>
        <v>119</v>
      </c>
    </row>
    <row r="7" spans="2:21" ht="24.95" customHeight="1">
      <c r="B7" s="10" t="s">
        <v>17</v>
      </c>
      <c r="C7" s="11">
        <v>119</v>
      </c>
      <c r="D7" s="11">
        <v>119</v>
      </c>
      <c r="E7" s="11">
        <v>119</v>
      </c>
      <c r="F7" s="11">
        <v>117</v>
      </c>
      <c r="G7" s="11">
        <v>117</v>
      </c>
      <c r="H7" s="11">
        <v>117</v>
      </c>
      <c r="I7" s="12">
        <v>110</v>
      </c>
      <c r="J7" s="13"/>
      <c r="P7" s="14" t="s">
        <v>18</v>
      </c>
      <c r="Q7" s="4">
        <v>2</v>
      </c>
      <c r="R7" s="4">
        <v>75</v>
      </c>
      <c r="S7" s="4">
        <v>40</v>
      </c>
      <c r="T7" s="4"/>
      <c r="U7" s="4">
        <f>SUM(((R7+S7+S7)-(4*Q7))-1)</f>
        <v>146</v>
      </c>
    </row>
    <row r="8" spans="2:21" ht="24.95" customHeight="1">
      <c r="B8" s="10" t="s">
        <v>19</v>
      </c>
      <c r="C8" s="11">
        <v>146</v>
      </c>
      <c r="D8" s="11">
        <v>146</v>
      </c>
      <c r="E8" s="11">
        <v>146</v>
      </c>
      <c r="F8" s="11">
        <v>144</v>
      </c>
      <c r="G8" s="11">
        <v>144</v>
      </c>
      <c r="H8" s="11">
        <v>144</v>
      </c>
      <c r="I8" s="12">
        <v>137</v>
      </c>
      <c r="J8" s="13">
        <v>137</v>
      </c>
      <c r="P8" s="14" t="s">
        <v>20</v>
      </c>
      <c r="Q8" s="4">
        <v>2</v>
      </c>
      <c r="R8" s="4">
        <v>75</v>
      </c>
      <c r="S8" s="4">
        <v>40</v>
      </c>
      <c r="T8" s="4">
        <v>15</v>
      </c>
      <c r="U8" s="4">
        <f>SUM(((R8+S8+S8+T8+T8)-(8*Q8))-3)</f>
        <v>166</v>
      </c>
    </row>
    <row r="9" spans="2:21" ht="24.95" customHeight="1">
      <c r="B9" s="10" t="s">
        <v>21</v>
      </c>
      <c r="C9" s="11">
        <v>166</v>
      </c>
      <c r="D9" s="11">
        <v>166</v>
      </c>
      <c r="E9" s="11">
        <v>166</v>
      </c>
      <c r="F9" s="11">
        <v>164</v>
      </c>
      <c r="G9" s="11">
        <v>164</v>
      </c>
      <c r="H9" s="11">
        <v>164</v>
      </c>
      <c r="I9" s="12">
        <v>149</v>
      </c>
      <c r="J9" s="13">
        <v>149</v>
      </c>
      <c r="P9" s="14" t="s">
        <v>22</v>
      </c>
      <c r="Q9" s="4">
        <v>2</v>
      </c>
      <c r="R9" s="4">
        <v>92</v>
      </c>
      <c r="S9" s="4">
        <v>30</v>
      </c>
      <c r="T9" s="4"/>
      <c r="U9" s="4">
        <f>SUM(((R9+S9+S9)-(4*Q9))-1)</f>
        <v>143</v>
      </c>
    </row>
    <row r="10" spans="2:21" ht="24.95" customHeight="1">
      <c r="B10" s="10" t="s">
        <v>23</v>
      </c>
      <c r="C10" s="11">
        <v>143</v>
      </c>
      <c r="D10" s="11">
        <v>143</v>
      </c>
      <c r="E10" s="11">
        <v>143</v>
      </c>
      <c r="F10" s="11">
        <v>141</v>
      </c>
      <c r="G10" s="11">
        <v>141</v>
      </c>
      <c r="H10" s="11">
        <v>141</v>
      </c>
      <c r="I10" s="12">
        <v>134</v>
      </c>
      <c r="J10" s="13"/>
      <c r="P10" s="14" t="s">
        <v>24</v>
      </c>
      <c r="Q10" s="4">
        <v>2</v>
      </c>
      <c r="R10" s="4">
        <v>92</v>
      </c>
      <c r="S10" s="4">
        <v>40</v>
      </c>
      <c r="T10" s="4"/>
      <c r="U10" s="4">
        <f>SUM(((R10+S10+S10)-(4*Q10))-1)</f>
        <v>163</v>
      </c>
    </row>
    <row r="11" spans="2:21" ht="24.95" customHeight="1">
      <c r="B11" s="10" t="s">
        <v>25</v>
      </c>
      <c r="C11" s="11">
        <v>163</v>
      </c>
      <c r="D11" s="11">
        <v>163</v>
      </c>
      <c r="E11" s="11">
        <v>163</v>
      </c>
      <c r="F11" s="11">
        <v>161</v>
      </c>
      <c r="G11" s="11">
        <v>161</v>
      </c>
      <c r="H11" s="11">
        <v>161</v>
      </c>
      <c r="I11" s="12">
        <v>154</v>
      </c>
      <c r="J11" s="13"/>
      <c r="P11" s="14" t="s">
        <v>26</v>
      </c>
      <c r="Q11" s="4">
        <v>2</v>
      </c>
      <c r="R11" s="4">
        <v>100</v>
      </c>
      <c r="S11" s="4">
        <v>40</v>
      </c>
      <c r="T11" s="4"/>
      <c r="U11" s="4">
        <f>SUM(((R11+S11+S11)-(4*Q11))-1)</f>
        <v>171</v>
      </c>
    </row>
    <row r="12" spans="2:21" ht="24.95" customHeight="1">
      <c r="B12" s="10" t="s">
        <v>27</v>
      </c>
      <c r="C12" s="11">
        <v>171</v>
      </c>
      <c r="D12" s="11">
        <v>171</v>
      </c>
      <c r="E12" s="11">
        <v>171</v>
      </c>
      <c r="F12" s="11">
        <v>169</v>
      </c>
      <c r="G12" s="11">
        <v>169</v>
      </c>
      <c r="H12" s="11">
        <v>169</v>
      </c>
      <c r="I12" s="12">
        <v>162</v>
      </c>
      <c r="J12" s="13">
        <v>162</v>
      </c>
      <c r="P12" s="14" t="s">
        <v>28</v>
      </c>
      <c r="Q12" s="4">
        <v>2</v>
      </c>
      <c r="R12" s="4">
        <v>100</v>
      </c>
      <c r="S12" s="4">
        <v>40</v>
      </c>
      <c r="T12" s="4">
        <v>17</v>
      </c>
      <c r="U12" s="4">
        <f>SUM(((R12+S12+S12+T12+T12)-(8*Q12))-3)</f>
        <v>195</v>
      </c>
    </row>
    <row r="13" spans="2:21" ht="24.95" customHeight="1">
      <c r="B13" s="10" t="s">
        <v>29</v>
      </c>
      <c r="C13" s="11">
        <v>195</v>
      </c>
      <c r="D13" s="11">
        <v>195</v>
      </c>
      <c r="E13" s="11">
        <v>195</v>
      </c>
      <c r="F13" s="11">
        <v>193</v>
      </c>
      <c r="G13" s="11">
        <v>193</v>
      </c>
      <c r="H13" s="11">
        <v>193</v>
      </c>
      <c r="I13" s="12">
        <v>178</v>
      </c>
      <c r="J13" s="13">
        <v>178</v>
      </c>
      <c r="P13" s="14" t="s">
        <v>30</v>
      </c>
      <c r="Q13" s="4">
        <v>2</v>
      </c>
      <c r="R13" s="4">
        <v>100</v>
      </c>
      <c r="S13" s="4">
        <v>50</v>
      </c>
      <c r="T13" s="4"/>
      <c r="U13" s="4">
        <f>SUM(((R13+S13+S13)-(4*Q13))-1)</f>
        <v>191</v>
      </c>
    </row>
    <row r="14" spans="2:21" ht="24.95" customHeight="1">
      <c r="B14" s="10" t="s">
        <v>31</v>
      </c>
      <c r="C14" s="11">
        <v>191</v>
      </c>
      <c r="D14" s="11">
        <v>191</v>
      </c>
      <c r="E14" s="11">
        <v>191</v>
      </c>
      <c r="F14" s="11">
        <v>189</v>
      </c>
      <c r="G14" s="11">
        <v>189</v>
      </c>
      <c r="H14" s="15">
        <v>190</v>
      </c>
      <c r="I14" s="12">
        <v>182</v>
      </c>
      <c r="J14" s="13">
        <v>182</v>
      </c>
      <c r="P14" s="14" t="s">
        <v>32</v>
      </c>
      <c r="Q14" s="4">
        <v>2</v>
      </c>
      <c r="R14" s="4">
        <v>100</v>
      </c>
      <c r="S14" s="4">
        <v>50</v>
      </c>
      <c r="T14" s="4">
        <v>17</v>
      </c>
      <c r="U14" s="4">
        <f>SUM(((R14+S14+S14+T14+T14)-(8*Q14))-3)</f>
        <v>215</v>
      </c>
    </row>
    <row r="15" spans="2:21" ht="24.95" customHeight="1">
      <c r="B15" s="10" t="s">
        <v>33</v>
      </c>
      <c r="C15" s="11">
        <v>215</v>
      </c>
      <c r="D15" s="11">
        <v>215</v>
      </c>
      <c r="E15" s="11">
        <v>215</v>
      </c>
      <c r="F15" s="15">
        <v>213</v>
      </c>
      <c r="G15" s="15">
        <v>213</v>
      </c>
      <c r="H15" s="15">
        <v>213</v>
      </c>
      <c r="I15" s="12">
        <v>199</v>
      </c>
      <c r="J15" s="13">
        <v>199</v>
      </c>
      <c r="P15" s="14" t="s">
        <v>34</v>
      </c>
      <c r="Q15" s="4">
        <v>2</v>
      </c>
      <c r="R15" s="4">
        <v>127</v>
      </c>
      <c r="S15" s="4">
        <v>50</v>
      </c>
      <c r="T15" s="4"/>
      <c r="U15" s="4">
        <f>SUM(((R15+S15+S15)-(4*Q15))-1)</f>
        <v>218</v>
      </c>
    </row>
    <row r="16" spans="2:21" ht="24.95" customHeight="1">
      <c r="B16" s="10" t="s">
        <v>35</v>
      </c>
      <c r="C16" s="11">
        <v>171</v>
      </c>
      <c r="D16" s="11">
        <v>171</v>
      </c>
      <c r="E16" s="11">
        <v>171</v>
      </c>
      <c r="F16" s="11">
        <v>169</v>
      </c>
      <c r="G16" s="11">
        <v>169</v>
      </c>
      <c r="H16" s="11">
        <v>169</v>
      </c>
      <c r="I16" s="11">
        <v>162</v>
      </c>
      <c r="J16" s="13"/>
      <c r="P16" s="14"/>
      <c r="Q16" s="4">
        <v>2</v>
      </c>
      <c r="R16" s="4">
        <v>120</v>
      </c>
      <c r="S16" s="4">
        <v>30</v>
      </c>
      <c r="T16" s="4"/>
      <c r="U16" s="4">
        <f>SUM(((R16+S16+S16)-(4*Q16))-1)</f>
        <v>171</v>
      </c>
    </row>
    <row r="17" spans="2:21" ht="24.95" customHeight="1">
      <c r="B17" s="10" t="s">
        <v>36</v>
      </c>
      <c r="C17" s="11">
        <v>191</v>
      </c>
      <c r="D17" s="11">
        <v>191</v>
      </c>
      <c r="E17" s="11">
        <v>191</v>
      </c>
      <c r="F17" s="11">
        <v>189</v>
      </c>
      <c r="G17" s="11">
        <v>189</v>
      </c>
      <c r="H17" s="11">
        <v>189</v>
      </c>
      <c r="I17" s="11">
        <v>182</v>
      </c>
      <c r="J17" s="13"/>
      <c r="P17" s="14"/>
      <c r="Q17" s="4">
        <v>2</v>
      </c>
      <c r="R17" s="4">
        <v>120</v>
      </c>
      <c r="S17" s="4">
        <v>40</v>
      </c>
      <c r="T17" s="4"/>
      <c r="U17" s="4">
        <f>SUM(((R17+S17+S17)-(4*Q17))-1)</f>
        <v>191</v>
      </c>
    </row>
    <row r="18" spans="2:21" ht="24.95" customHeight="1">
      <c r="B18" s="10" t="s">
        <v>37</v>
      </c>
      <c r="C18" s="11">
        <v>211</v>
      </c>
      <c r="D18" s="11">
        <v>211</v>
      </c>
      <c r="E18" s="11">
        <v>211</v>
      </c>
      <c r="F18" s="11">
        <v>209</v>
      </c>
      <c r="G18" s="11">
        <v>209</v>
      </c>
      <c r="H18" s="11">
        <v>209</v>
      </c>
      <c r="I18" s="11">
        <v>202</v>
      </c>
      <c r="J18" s="13"/>
      <c r="P18" s="14"/>
      <c r="Q18" s="4">
        <v>2</v>
      </c>
      <c r="R18" s="4">
        <v>120</v>
      </c>
      <c r="S18" s="4">
        <v>50</v>
      </c>
      <c r="T18" s="4"/>
      <c r="U18" s="4">
        <f>SUM(((R18+S18+S18)-(4*Q18))-1)</f>
        <v>211</v>
      </c>
    </row>
    <row r="19" spans="2:21" ht="24.95" customHeight="1">
      <c r="B19" s="10" t="s">
        <v>38</v>
      </c>
      <c r="C19" s="11">
        <v>218</v>
      </c>
      <c r="D19" s="11">
        <v>218</v>
      </c>
      <c r="E19" s="11">
        <v>218</v>
      </c>
      <c r="F19" s="11">
        <v>216</v>
      </c>
      <c r="G19" s="11">
        <v>216</v>
      </c>
      <c r="H19" s="11">
        <v>216</v>
      </c>
      <c r="I19" s="12">
        <v>209</v>
      </c>
      <c r="J19" s="13">
        <v>209</v>
      </c>
      <c r="P19" s="14" t="s">
        <v>39</v>
      </c>
      <c r="Q19" s="4">
        <v>2</v>
      </c>
      <c r="R19" s="4">
        <v>127</v>
      </c>
      <c r="S19" s="4">
        <v>50</v>
      </c>
      <c r="T19" s="4">
        <v>17</v>
      </c>
      <c r="U19" s="4">
        <f>SUM(((R19+S19+S19+T19+T19)-(8*Q19))-3)</f>
        <v>242</v>
      </c>
    </row>
    <row r="20" spans="2:21" ht="24.95" customHeight="1">
      <c r="B20" s="10" t="s">
        <v>40</v>
      </c>
      <c r="C20" s="11">
        <v>242</v>
      </c>
      <c r="D20" s="11">
        <v>242</v>
      </c>
      <c r="E20" s="11">
        <v>242</v>
      </c>
      <c r="F20" s="11">
        <v>240</v>
      </c>
      <c r="G20" s="11">
        <v>240</v>
      </c>
      <c r="H20" s="11">
        <v>240</v>
      </c>
      <c r="I20" s="12">
        <v>225</v>
      </c>
      <c r="J20" s="13">
        <v>225</v>
      </c>
      <c r="P20" s="14" t="s">
        <v>41</v>
      </c>
      <c r="Q20" s="4">
        <v>2</v>
      </c>
      <c r="R20" s="4">
        <v>150</v>
      </c>
      <c r="S20" s="4">
        <v>50</v>
      </c>
      <c r="T20" s="4"/>
      <c r="U20" s="4">
        <f>SUM(((R20+S20+S20)-(4*Q20))-1)</f>
        <v>241</v>
      </c>
    </row>
    <row r="21" spans="2:21" ht="24.95" customHeight="1">
      <c r="B21" s="10" t="s">
        <v>42</v>
      </c>
      <c r="C21" s="11">
        <v>241</v>
      </c>
      <c r="D21" s="11">
        <v>241</v>
      </c>
      <c r="E21" s="11">
        <v>241</v>
      </c>
      <c r="F21" s="11">
        <v>239</v>
      </c>
      <c r="G21" s="11">
        <v>239</v>
      </c>
      <c r="H21" s="11">
        <v>239</v>
      </c>
      <c r="I21" s="12">
        <v>232</v>
      </c>
      <c r="J21" s="13">
        <v>232</v>
      </c>
      <c r="P21" s="14" t="s">
        <v>43</v>
      </c>
      <c r="Q21" s="4">
        <v>2</v>
      </c>
      <c r="R21" s="4">
        <v>150</v>
      </c>
      <c r="S21" s="4">
        <v>60</v>
      </c>
      <c r="T21" s="4">
        <v>20</v>
      </c>
      <c r="U21" s="4">
        <f>SUM(((R21+S21+S21+T21+T21)-(8*Q21))-3)</f>
        <v>291</v>
      </c>
    </row>
    <row r="22" spans="2:21" ht="24.95" customHeight="1">
      <c r="B22" s="10" t="s">
        <v>44</v>
      </c>
      <c r="C22" s="11">
        <v>291</v>
      </c>
      <c r="D22" s="11">
        <v>291</v>
      </c>
      <c r="E22" s="11">
        <v>291</v>
      </c>
      <c r="F22" s="11">
        <v>289</v>
      </c>
      <c r="G22" s="11">
        <v>289</v>
      </c>
      <c r="H22" s="11">
        <v>289</v>
      </c>
      <c r="I22" s="12">
        <v>274</v>
      </c>
      <c r="J22" s="13">
        <v>274</v>
      </c>
      <c r="P22" s="14" t="s">
        <v>45</v>
      </c>
      <c r="Q22" s="4">
        <v>2</v>
      </c>
      <c r="R22" s="4">
        <v>150</v>
      </c>
      <c r="S22" s="4">
        <v>50</v>
      </c>
      <c r="T22" s="4">
        <v>20</v>
      </c>
      <c r="U22" s="4">
        <f>SUM(((R22+S22+S22+T22+T22)-(8*Q22))-3)</f>
        <v>271</v>
      </c>
    </row>
    <row r="23" spans="2:21" ht="24.95" customHeight="1">
      <c r="B23" s="10" t="s">
        <v>46</v>
      </c>
      <c r="C23" s="11">
        <v>271</v>
      </c>
      <c r="D23" s="11">
        <v>271</v>
      </c>
      <c r="E23" s="11">
        <v>271</v>
      </c>
      <c r="F23" s="11">
        <v>269</v>
      </c>
      <c r="G23" s="11">
        <v>269</v>
      </c>
      <c r="H23" s="11">
        <v>269</v>
      </c>
      <c r="I23" s="12">
        <v>254</v>
      </c>
      <c r="J23" s="13"/>
      <c r="P23" s="14" t="s">
        <v>47</v>
      </c>
      <c r="Q23" s="4">
        <v>2</v>
      </c>
      <c r="R23" s="4">
        <v>200</v>
      </c>
      <c r="S23" s="4">
        <v>50</v>
      </c>
      <c r="T23" s="4"/>
      <c r="U23" s="4">
        <f>SUM(((R23+S23+S23)-(4*Q23))-1)</f>
        <v>291</v>
      </c>
    </row>
    <row r="24" spans="2:21" ht="24.95" customHeight="1">
      <c r="B24" s="10" t="s">
        <v>48</v>
      </c>
      <c r="C24" s="11">
        <v>291</v>
      </c>
      <c r="D24" s="11">
        <v>291</v>
      </c>
      <c r="E24" s="11">
        <v>291</v>
      </c>
      <c r="F24" s="11">
        <v>289</v>
      </c>
      <c r="G24" s="11">
        <v>289</v>
      </c>
      <c r="H24" s="11">
        <v>289</v>
      </c>
      <c r="I24" s="12">
        <v>282</v>
      </c>
      <c r="J24" s="13">
        <v>282</v>
      </c>
      <c r="P24" s="14" t="s">
        <v>49</v>
      </c>
      <c r="Q24" s="4">
        <v>2</v>
      </c>
      <c r="R24" s="4">
        <v>200</v>
      </c>
      <c r="S24" s="4">
        <v>60</v>
      </c>
      <c r="T24" s="4">
        <v>20</v>
      </c>
      <c r="U24" s="4">
        <f>SUM(((R24+S24+S24+T24+T24)-(8*Q24))-3)</f>
        <v>341</v>
      </c>
    </row>
    <row r="25" spans="2:21" ht="24.95" customHeight="1">
      <c r="B25" s="10" t="s">
        <v>50</v>
      </c>
      <c r="C25" s="11">
        <v>341</v>
      </c>
      <c r="D25" s="11">
        <v>341</v>
      </c>
      <c r="E25" s="11">
        <v>341</v>
      </c>
      <c r="F25" s="11">
        <v>339</v>
      </c>
      <c r="G25" s="11">
        <v>339</v>
      </c>
      <c r="H25" s="11">
        <v>339</v>
      </c>
      <c r="I25" s="12">
        <v>324</v>
      </c>
      <c r="J25" s="13">
        <v>324</v>
      </c>
      <c r="P25" s="14" t="s">
        <v>51</v>
      </c>
      <c r="Q25" s="4">
        <v>2</v>
      </c>
      <c r="R25" s="4">
        <v>200</v>
      </c>
      <c r="S25" s="4">
        <v>75</v>
      </c>
      <c r="T25" s="4">
        <v>20</v>
      </c>
      <c r="U25" s="4">
        <f>SUM(((R25+S25+S25+T25+T25)-(8*Q25))-3)</f>
        <v>371</v>
      </c>
    </row>
    <row r="26" spans="2:21" ht="24.95" customHeight="1" thickBot="1">
      <c r="B26" s="10" t="s">
        <v>52</v>
      </c>
      <c r="C26" s="15">
        <v>371</v>
      </c>
      <c r="D26" s="15">
        <v>371</v>
      </c>
      <c r="E26" s="15">
        <v>371</v>
      </c>
      <c r="F26" s="15">
        <v>369</v>
      </c>
      <c r="G26" s="15">
        <v>369</v>
      </c>
      <c r="H26" s="15">
        <v>369</v>
      </c>
      <c r="I26" s="12">
        <v>355</v>
      </c>
      <c r="J26" s="13">
        <v>355</v>
      </c>
      <c r="P26" s="16" t="s">
        <v>53</v>
      </c>
      <c r="Q26" s="4">
        <v>2</v>
      </c>
      <c r="R26" s="4">
        <v>210</v>
      </c>
      <c r="S26" s="4">
        <v>30</v>
      </c>
      <c r="T26" s="4">
        <v>15</v>
      </c>
      <c r="U26" s="4">
        <f>SUM(((R26+S26+S26+T26+T26)-(8*Q26))-3)</f>
        <v>281</v>
      </c>
    </row>
    <row r="27" spans="2:21" ht="24.95" customHeight="1" thickBot="1">
      <c r="B27" s="17" t="s">
        <v>54</v>
      </c>
      <c r="C27" s="18">
        <v>281</v>
      </c>
      <c r="D27" s="18">
        <v>281</v>
      </c>
      <c r="E27" s="18">
        <v>281</v>
      </c>
      <c r="F27" s="18"/>
      <c r="G27" s="18"/>
      <c r="H27" s="19"/>
      <c r="I27" s="19">
        <v>264</v>
      </c>
      <c r="J27" s="20"/>
      <c r="S27" s="4"/>
      <c r="T27" s="4"/>
      <c r="U27" s="4"/>
    </row>
    <row r="28" spans="2:21">
      <c r="P28" s="9" t="s">
        <v>55</v>
      </c>
      <c r="Q28" s="4">
        <v>3</v>
      </c>
      <c r="R28" s="21">
        <v>45</v>
      </c>
      <c r="S28" s="21">
        <v>17</v>
      </c>
      <c r="T28" s="21"/>
      <c r="U28" s="4">
        <f>SUM(((R28+(S28*2))-(4*Q28))+1)</f>
        <v>68</v>
      </c>
    </row>
    <row r="29" spans="2:21">
      <c r="P29" s="14" t="s">
        <v>56</v>
      </c>
      <c r="Q29" s="4">
        <v>3</v>
      </c>
      <c r="R29" s="22">
        <v>50</v>
      </c>
      <c r="S29" s="22">
        <v>25</v>
      </c>
      <c r="T29" s="22"/>
      <c r="U29" s="4">
        <f>SUM(((R29+(S29*2))-(4*Q29))+1)</f>
        <v>89</v>
      </c>
    </row>
    <row r="30" spans="2:21">
      <c r="P30" s="14" t="s">
        <v>57</v>
      </c>
      <c r="Q30" s="4">
        <v>3</v>
      </c>
      <c r="R30" s="22">
        <v>50</v>
      </c>
      <c r="S30" s="22">
        <v>25</v>
      </c>
      <c r="T30" s="22">
        <v>10</v>
      </c>
      <c r="U30" s="4">
        <f>SUM(((R30+(S30*2)+(T30*2))-(8*Q30))+3)</f>
        <v>99</v>
      </c>
    </row>
    <row r="31" spans="2:21">
      <c r="P31" s="14" t="s">
        <v>58</v>
      </c>
      <c r="Q31" s="4">
        <v>3</v>
      </c>
      <c r="R31" s="22">
        <v>68</v>
      </c>
      <c r="S31" s="22">
        <v>30</v>
      </c>
      <c r="T31" s="22"/>
      <c r="U31" s="4">
        <f>SUM(((R31+(S31*2))-(4*Q31))+1)</f>
        <v>117</v>
      </c>
    </row>
    <row r="32" spans="2:21">
      <c r="P32" s="14" t="s">
        <v>59</v>
      </c>
      <c r="Q32" s="4">
        <v>3</v>
      </c>
      <c r="R32" s="22">
        <v>75</v>
      </c>
      <c r="S32" s="22">
        <v>40</v>
      </c>
      <c r="T32" s="22"/>
      <c r="U32" s="4">
        <f>SUM(((R32+(S32*2))-(4*Q32))+1)</f>
        <v>144</v>
      </c>
    </row>
    <row r="33" spans="16:21">
      <c r="P33" s="14" t="s">
        <v>60</v>
      </c>
      <c r="Q33" s="4">
        <v>3</v>
      </c>
      <c r="R33" s="22">
        <v>75</v>
      </c>
      <c r="S33" s="22">
        <v>40</v>
      </c>
      <c r="T33" s="22">
        <v>15</v>
      </c>
      <c r="U33" s="4">
        <f>SUM(((R33+(S33*2)+(T33*2))-(8*Q33))+3)</f>
        <v>164</v>
      </c>
    </row>
    <row r="34" spans="16:21">
      <c r="P34" s="14" t="s">
        <v>61</v>
      </c>
      <c r="Q34" s="4">
        <v>3</v>
      </c>
      <c r="R34" s="22">
        <v>92</v>
      </c>
      <c r="S34" s="22">
        <v>30</v>
      </c>
      <c r="T34" s="22"/>
      <c r="U34" s="4">
        <f>SUM(((R34+(S34*2))-(4*Q34))+1)</f>
        <v>141</v>
      </c>
    </row>
    <row r="35" spans="16:21">
      <c r="P35" s="14" t="s">
        <v>62</v>
      </c>
      <c r="Q35" s="4">
        <v>3</v>
      </c>
      <c r="R35" s="22">
        <v>92</v>
      </c>
      <c r="S35" s="22">
        <v>40</v>
      </c>
      <c r="T35" s="22"/>
      <c r="U35" s="4">
        <f>SUM(((R35+(S35*2))-(4*Q35))+1)</f>
        <v>161</v>
      </c>
    </row>
    <row r="36" spans="16:21">
      <c r="P36" s="14" t="s">
        <v>63</v>
      </c>
      <c r="Q36" s="4">
        <v>3</v>
      </c>
      <c r="R36" s="22">
        <v>100</v>
      </c>
      <c r="S36" s="22">
        <v>40</v>
      </c>
      <c r="T36" s="22"/>
      <c r="U36" s="4">
        <f>SUM(((R36+(S36*2))-(4*Q36))+1)</f>
        <v>169</v>
      </c>
    </row>
    <row r="37" spans="16:21">
      <c r="P37" s="14" t="s">
        <v>64</v>
      </c>
      <c r="Q37" s="4">
        <v>3</v>
      </c>
      <c r="R37" s="22">
        <v>100</v>
      </c>
      <c r="S37" s="22">
        <v>40</v>
      </c>
      <c r="T37" s="22">
        <v>17</v>
      </c>
      <c r="U37" s="4">
        <f>SUM(((R37+(S37*2)+(T37*2))-(8*Q37))+3)</f>
        <v>193</v>
      </c>
    </row>
    <row r="38" spans="16:21">
      <c r="P38" s="14" t="s">
        <v>65</v>
      </c>
      <c r="Q38" s="4">
        <v>3</v>
      </c>
      <c r="R38" s="22">
        <v>100</v>
      </c>
      <c r="S38" s="22">
        <v>50</v>
      </c>
      <c r="T38" s="22"/>
      <c r="U38" s="4">
        <f>SUM(((R38+(S38*2))-(4*Q38))+1)</f>
        <v>189</v>
      </c>
    </row>
    <row r="39" spans="16:21">
      <c r="P39" s="14" t="s">
        <v>66</v>
      </c>
      <c r="Q39" s="4">
        <v>3</v>
      </c>
      <c r="R39" s="22">
        <v>100</v>
      </c>
      <c r="S39" s="22">
        <v>50</v>
      </c>
      <c r="T39" s="22">
        <v>17</v>
      </c>
      <c r="U39" s="4">
        <f>SUM(((R39+(S39*2)+(T39*2))-(8*Q39))+3)</f>
        <v>213</v>
      </c>
    </row>
    <row r="40" spans="16:21">
      <c r="P40" s="14"/>
      <c r="Q40" s="22">
        <v>3</v>
      </c>
      <c r="R40" s="23">
        <v>120</v>
      </c>
      <c r="S40" s="22">
        <v>30</v>
      </c>
      <c r="T40" s="22"/>
      <c r="U40" s="4">
        <f>SUM(((R40+(S40*2))-(4*Q40))+1)</f>
        <v>169</v>
      </c>
    </row>
    <row r="41" spans="16:21">
      <c r="P41" s="14"/>
      <c r="Q41" s="22">
        <v>3</v>
      </c>
      <c r="R41" s="23">
        <v>120</v>
      </c>
      <c r="S41" s="22">
        <v>40</v>
      </c>
      <c r="T41" s="22"/>
      <c r="U41" s="4">
        <f>SUM(((R41+(S41*2))-(4*Q41))+1)</f>
        <v>189</v>
      </c>
    </row>
    <row r="42" spans="16:21">
      <c r="P42" s="14"/>
      <c r="Q42" s="22">
        <v>3</v>
      </c>
      <c r="R42" s="23">
        <v>120</v>
      </c>
      <c r="S42" s="22">
        <v>50</v>
      </c>
      <c r="T42" s="22"/>
      <c r="U42" s="4">
        <f>SUM(((R42+(S42*2))-(4*Q42))+1)</f>
        <v>209</v>
      </c>
    </row>
    <row r="43" spans="16:21">
      <c r="P43" s="14" t="s">
        <v>67</v>
      </c>
      <c r="Q43" s="4">
        <v>3</v>
      </c>
      <c r="R43" s="22">
        <v>127</v>
      </c>
      <c r="S43" s="22">
        <v>50</v>
      </c>
      <c r="T43" s="22"/>
      <c r="U43" s="4">
        <f>SUM(((R43+(S43*2))-(4*Q43))+1)</f>
        <v>216</v>
      </c>
    </row>
    <row r="44" spans="16:21">
      <c r="P44" s="14" t="s">
        <v>68</v>
      </c>
      <c r="Q44" s="4">
        <v>3</v>
      </c>
      <c r="R44" s="22">
        <v>127</v>
      </c>
      <c r="S44" s="22">
        <v>50</v>
      </c>
      <c r="T44" s="22">
        <v>17</v>
      </c>
      <c r="U44" s="4">
        <f>SUM(((R44+(S44*2)+(T44*2))-(8*Q44))+3)</f>
        <v>240</v>
      </c>
    </row>
    <row r="45" spans="16:21">
      <c r="P45" s="14" t="s">
        <v>69</v>
      </c>
      <c r="Q45" s="4">
        <v>3</v>
      </c>
      <c r="R45" s="22">
        <v>150</v>
      </c>
      <c r="S45" s="22">
        <v>50</v>
      </c>
      <c r="T45" s="22"/>
      <c r="U45" s="4">
        <f>SUM(((R45+(S45*2))-(4*Q45))+1)</f>
        <v>239</v>
      </c>
    </row>
    <row r="46" spans="16:21">
      <c r="P46" s="14" t="s">
        <v>70</v>
      </c>
      <c r="Q46" s="4">
        <v>3</v>
      </c>
      <c r="R46" s="22">
        <v>150</v>
      </c>
      <c r="S46" s="22">
        <v>60</v>
      </c>
      <c r="T46" s="22">
        <v>20</v>
      </c>
      <c r="U46" s="4">
        <f>SUM(((R46+(S46*2)+(T46*2))-(8*Q46))+3)</f>
        <v>289</v>
      </c>
    </row>
    <row r="47" spans="16:21">
      <c r="P47" s="14" t="s">
        <v>71</v>
      </c>
      <c r="Q47" s="4">
        <v>3</v>
      </c>
      <c r="R47" s="22">
        <v>150</v>
      </c>
      <c r="S47" s="22">
        <v>50</v>
      </c>
      <c r="T47" s="22">
        <v>20</v>
      </c>
      <c r="U47" s="4">
        <f>SUM(((R47+(S47*2)+(T47*2))-(8*Q47))+3)</f>
        <v>269</v>
      </c>
    </row>
    <row r="48" spans="16:21">
      <c r="P48" s="14" t="s">
        <v>72</v>
      </c>
      <c r="Q48" s="4">
        <v>3</v>
      </c>
      <c r="R48" s="22">
        <v>200</v>
      </c>
      <c r="S48" s="22">
        <v>50</v>
      </c>
      <c r="T48" s="22"/>
      <c r="U48" s="4">
        <f>SUM(((R48+(S48*2))-(4*Q48))+1)</f>
        <v>289</v>
      </c>
    </row>
    <row r="49" spans="16:21">
      <c r="P49" s="14" t="s">
        <v>73</v>
      </c>
      <c r="Q49" s="4">
        <v>3</v>
      </c>
      <c r="R49" s="22">
        <v>200</v>
      </c>
      <c r="S49" s="22">
        <v>60</v>
      </c>
      <c r="T49" s="22">
        <v>20</v>
      </c>
      <c r="U49" s="4">
        <f>SUM(((R49+(S49*2)+(T49*2))-(8*Q49))+3)</f>
        <v>339</v>
      </c>
    </row>
    <row r="50" spans="16:21" ht="15" thickBot="1">
      <c r="P50" s="16" t="s">
        <v>74</v>
      </c>
      <c r="Q50" s="4">
        <v>3</v>
      </c>
      <c r="R50" s="24">
        <v>200</v>
      </c>
      <c r="S50" s="24">
        <v>75</v>
      </c>
      <c r="T50" s="24">
        <v>20</v>
      </c>
      <c r="U50" s="4">
        <f>SUM(((R50+(S50*2)+(T50*2))-(8*Q50))+3)</f>
        <v>369</v>
      </c>
    </row>
    <row r="51" spans="16:21" ht="15" thickBot="1">
      <c r="S51" s="4"/>
      <c r="T51" s="4"/>
      <c r="U51" s="4"/>
    </row>
    <row r="52" spans="16:21">
      <c r="P52" s="9" t="s">
        <v>75</v>
      </c>
      <c r="Q52" s="1">
        <v>4.5</v>
      </c>
      <c r="R52" s="1">
        <v>50</v>
      </c>
      <c r="S52" s="1">
        <v>25</v>
      </c>
      <c r="U52" s="1">
        <v>81</v>
      </c>
    </row>
    <row r="53" spans="16:21">
      <c r="P53" s="14" t="s">
        <v>76</v>
      </c>
      <c r="Q53" s="1">
        <v>4.5</v>
      </c>
      <c r="R53" s="1">
        <v>75</v>
      </c>
      <c r="S53" s="1">
        <v>40</v>
      </c>
      <c r="T53" s="1">
        <v>15</v>
      </c>
      <c r="U53" s="1">
        <v>149</v>
      </c>
    </row>
    <row r="54" spans="16:21">
      <c r="P54" s="14" t="s">
        <v>77</v>
      </c>
      <c r="Q54" s="1">
        <v>4.5</v>
      </c>
      <c r="R54" s="1">
        <v>75</v>
      </c>
      <c r="S54" s="1">
        <v>40</v>
      </c>
      <c r="U54" s="1">
        <v>137</v>
      </c>
    </row>
    <row r="55" spans="16:21">
      <c r="P55" s="14" t="s">
        <v>78</v>
      </c>
      <c r="Q55" s="1">
        <v>4.5</v>
      </c>
      <c r="R55" s="1">
        <v>100</v>
      </c>
      <c r="S55" s="1">
        <v>40</v>
      </c>
      <c r="T55" s="1">
        <v>17</v>
      </c>
      <c r="U55" s="1">
        <v>178</v>
      </c>
    </row>
    <row r="56" spans="16:21">
      <c r="P56" s="14" t="s">
        <v>79</v>
      </c>
      <c r="Q56" s="1">
        <v>4.5</v>
      </c>
      <c r="R56" s="1">
        <v>100</v>
      </c>
      <c r="S56" s="1">
        <v>40</v>
      </c>
      <c r="U56" s="1">
        <v>162</v>
      </c>
    </row>
    <row r="57" spans="16:21">
      <c r="P57" s="14" t="s">
        <v>80</v>
      </c>
      <c r="Q57" s="1">
        <v>4.5</v>
      </c>
      <c r="R57" s="1">
        <v>100</v>
      </c>
      <c r="S57" s="1">
        <v>50</v>
      </c>
      <c r="T57" s="1">
        <v>17</v>
      </c>
      <c r="U57" s="1">
        <v>199</v>
      </c>
    </row>
    <row r="58" spans="16:21">
      <c r="P58" s="14" t="s">
        <v>81</v>
      </c>
      <c r="Q58" s="1">
        <v>4.5</v>
      </c>
      <c r="R58" s="1">
        <v>100</v>
      </c>
      <c r="S58" s="1">
        <v>50</v>
      </c>
      <c r="U58" s="1">
        <v>182</v>
      </c>
    </row>
    <row r="59" spans="16:21">
      <c r="P59" s="14" t="s">
        <v>82</v>
      </c>
      <c r="Q59" s="1">
        <v>4.5</v>
      </c>
      <c r="R59" s="1">
        <v>127</v>
      </c>
      <c r="S59" s="1">
        <v>50</v>
      </c>
      <c r="T59" s="1">
        <v>17</v>
      </c>
      <c r="U59" s="1">
        <v>225</v>
      </c>
    </row>
    <row r="60" spans="16:21">
      <c r="P60" s="14" t="s">
        <v>83</v>
      </c>
      <c r="Q60" s="1">
        <v>4.5</v>
      </c>
      <c r="R60" s="1">
        <v>127</v>
      </c>
      <c r="S60" s="1">
        <v>50</v>
      </c>
      <c r="U60" s="1">
        <v>209</v>
      </c>
    </row>
    <row r="61" spans="16:21">
      <c r="P61" s="14" t="s">
        <v>84</v>
      </c>
      <c r="Q61" s="1">
        <v>4.5</v>
      </c>
      <c r="R61" s="1">
        <v>150</v>
      </c>
      <c r="S61" s="1">
        <v>60</v>
      </c>
      <c r="T61" s="1">
        <v>20</v>
      </c>
      <c r="U61" s="1">
        <v>274</v>
      </c>
    </row>
    <row r="62" spans="16:21">
      <c r="P62" s="14" t="s">
        <v>85</v>
      </c>
      <c r="Q62" s="1">
        <v>4.5</v>
      </c>
      <c r="R62" s="1">
        <v>150</v>
      </c>
      <c r="S62" s="1">
        <v>50</v>
      </c>
      <c r="U62" s="1">
        <v>232</v>
      </c>
    </row>
    <row r="63" spans="16:21">
      <c r="P63" s="14" t="s">
        <v>86</v>
      </c>
      <c r="Q63" s="1">
        <v>4.5</v>
      </c>
      <c r="R63" s="1">
        <v>200</v>
      </c>
      <c r="S63" s="1">
        <v>75</v>
      </c>
      <c r="T63" s="1">
        <v>20</v>
      </c>
      <c r="U63" s="1">
        <v>355</v>
      </c>
    </row>
    <row r="64" spans="16:21">
      <c r="P64" s="14" t="s">
        <v>87</v>
      </c>
      <c r="Q64" s="1">
        <v>4.5</v>
      </c>
      <c r="R64" s="1">
        <v>200</v>
      </c>
      <c r="S64" s="1">
        <v>50</v>
      </c>
      <c r="U64" s="1">
        <v>282</v>
      </c>
    </row>
    <row r="65" spans="16:21" ht="15" thickBot="1">
      <c r="P65" s="16" t="s">
        <v>88</v>
      </c>
      <c r="Q65" s="1">
        <v>4.5</v>
      </c>
      <c r="R65" s="1">
        <v>200</v>
      </c>
      <c r="S65" s="1">
        <v>60</v>
      </c>
      <c r="T65" s="1">
        <v>20</v>
      </c>
      <c r="U65" s="1">
        <v>324</v>
      </c>
    </row>
    <row r="66" spans="16:21" ht="15" thickBot="1"/>
    <row r="67" spans="16:21">
      <c r="P67" s="9" t="s">
        <v>9</v>
      </c>
      <c r="Q67" s="1">
        <v>4.5</v>
      </c>
      <c r="R67" s="4">
        <v>45</v>
      </c>
      <c r="S67" s="4">
        <v>17</v>
      </c>
      <c r="T67" s="4"/>
      <c r="U67" s="4">
        <f>R67+S67+S67-(Q67*4)</f>
        <v>61</v>
      </c>
    </row>
    <row r="68" spans="16:21">
      <c r="P68" s="14" t="s">
        <v>11</v>
      </c>
      <c r="Q68" s="1">
        <v>4.5</v>
      </c>
      <c r="R68" s="4">
        <v>50</v>
      </c>
      <c r="S68" s="4">
        <v>25</v>
      </c>
      <c r="T68" s="4"/>
      <c r="U68" s="4">
        <f>R68+S68+S68-(Q68*4)</f>
        <v>82</v>
      </c>
    </row>
    <row r="69" spans="16:21">
      <c r="P69" s="14" t="s">
        <v>14</v>
      </c>
      <c r="Q69" s="1">
        <v>4.5</v>
      </c>
      <c r="R69" s="4">
        <v>50</v>
      </c>
      <c r="S69" s="4">
        <v>25</v>
      </c>
      <c r="T69" s="4">
        <v>10</v>
      </c>
      <c r="U69" s="4">
        <f>R69+S69+S69+T69+T69-(Q69*8)</f>
        <v>84</v>
      </c>
    </row>
    <row r="70" spans="16:21">
      <c r="P70" s="14" t="s">
        <v>16</v>
      </c>
      <c r="Q70" s="1">
        <v>4.5</v>
      </c>
      <c r="R70" s="4">
        <v>68</v>
      </c>
      <c r="S70" s="4">
        <v>30</v>
      </c>
      <c r="T70" s="4"/>
      <c r="U70" s="4">
        <f>R70+S70+S70-(Q70*4)</f>
        <v>110</v>
      </c>
    </row>
    <row r="71" spans="16:21">
      <c r="P71" s="14" t="s">
        <v>18</v>
      </c>
      <c r="Q71" s="1">
        <v>4.5</v>
      </c>
      <c r="R71" s="4">
        <v>75</v>
      </c>
      <c r="S71" s="4">
        <v>40</v>
      </c>
      <c r="T71" s="4"/>
      <c r="U71" s="4">
        <f>R71+S71+S71-(Q71*4)</f>
        <v>137</v>
      </c>
    </row>
    <row r="72" spans="16:21">
      <c r="P72" s="14" t="s">
        <v>20</v>
      </c>
      <c r="Q72" s="1">
        <v>4.5</v>
      </c>
      <c r="R72" s="4">
        <v>75</v>
      </c>
      <c r="S72" s="4">
        <v>40</v>
      </c>
      <c r="T72" s="4">
        <v>15</v>
      </c>
      <c r="U72" s="4">
        <f>R72+S72+S72+T72+T72-(Q72*8)</f>
        <v>149</v>
      </c>
    </row>
    <row r="73" spans="16:21">
      <c r="P73" s="14" t="s">
        <v>22</v>
      </c>
      <c r="Q73" s="1">
        <v>4.5</v>
      </c>
      <c r="R73" s="4">
        <v>92</v>
      </c>
      <c r="S73" s="4">
        <v>30</v>
      </c>
      <c r="T73" s="4"/>
      <c r="U73" s="4">
        <f>R73+S73+S73-(Q73*4)</f>
        <v>134</v>
      </c>
    </row>
    <row r="74" spans="16:21">
      <c r="P74" s="14" t="s">
        <v>24</v>
      </c>
      <c r="Q74" s="1">
        <v>4.5</v>
      </c>
      <c r="R74" s="4">
        <v>92</v>
      </c>
      <c r="S74" s="4">
        <v>40</v>
      </c>
      <c r="T74" s="4"/>
      <c r="U74" s="4">
        <f>R74+S74+S74-(Q74*4)</f>
        <v>154</v>
      </c>
    </row>
    <row r="75" spans="16:21">
      <c r="P75" s="14" t="s">
        <v>26</v>
      </c>
      <c r="Q75" s="1">
        <v>4.5</v>
      </c>
      <c r="R75" s="4">
        <v>100</v>
      </c>
      <c r="S75" s="4">
        <v>40</v>
      </c>
      <c r="T75" s="4"/>
      <c r="U75" s="4">
        <f>R75+S75+S75-(Q75*4)</f>
        <v>162</v>
      </c>
    </row>
    <row r="76" spans="16:21">
      <c r="P76" s="14" t="s">
        <v>28</v>
      </c>
      <c r="Q76" s="1">
        <v>4.5</v>
      </c>
      <c r="R76" s="4">
        <v>100</v>
      </c>
      <c r="S76" s="4">
        <v>40</v>
      </c>
      <c r="T76" s="4">
        <v>17</v>
      </c>
      <c r="U76" s="4">
        <f>R76+S76+S76+T76+T76-(Q76*8)</f>
        <v>178</v>
      </c>
    </row>
    <row r="77" spans="16:21">
      <c r="P77" s="14" t="s">
        <v>30</v>
      </c>
      <c r="Q77" s="1">
        <v>4.5</v>
      </c>
      <c r="R77" s="4">
        <v>100</v>
      </c>
      <c r="S77" s="4">
        <v>50</v>
      </c>
      <c r="T77" s="4"/>
      <c r="U77" s="4">
        <f>R77+S77+S77-(Q77*4)</f>
        <v>182</v>
      </c>
    </row>
    <row r="78" spans="16:21">
      <c r="P78" s="14" t="s">
        <v>32</v>
      </c>
      <c r="Q78" s="1">
        <v>4.5</v>
      </c>
      <c r="R78" s="4">
        <v>100</v>
      </c>
      <c r="S78" s="4">
        <v>50</v>
      </c>
      <c r="T78" s="4">
        <v>17</v>
      </c>
      <c r="U78" s="4">
        <f>R78+S78+S78+T78+T78-(Q78*8)</f>
        <v>198</v>
      </c>
    </row>
    <row r="79" spans="16:21">
      <c r="P79" s="14" t="s">
        <v>34</v>
      </c>
      <c r="Q79" s="1">
        <v>4.5</v>
      </c>
      <c r="R79" s="4">
        <v>127</v>
      </c>
      <c r="S79" s="4">
        <v>50</v>
      </c>
      <c r="T79" s="4"/>
      <c r="U79" s="4">
        <f>R79+S79+S79-(Q79*4)</f>
        <v>209</v>
      </c>
    </row>
    <row r="80" spans="16:21">
      <c r="P80" s="14"/>
      <c r="Q80" s="1">
        <v>4.5</v>
      </c>
      <c r="R80" s="4">
        <v>120</v>
      </c>
      <c r="S80" s="4">
        <v>30</v>
      </c>
      <c r="T80" s="4"/>
      <c r="U80" s="4">
        <f>R80+S80+S80-(Q80*4)</f>
        <v>162</v>
      </c>
    </row>
    <row r="81" spans="16:21">
      <c r="P81" s="14"/>
      <c r="Q81" s="1">
        <v>4.5</v>
      </c>
      <c r="R81" s="4">
        <v>120</v>
      </c>
      <c r="S81" s="4">
        <v>40</v>
      </c>
      <c r="T81" s="4"/>
      <c r="U81" s="4">
        <f>R81+S81+S81-(Q81*4)</f>
        <v>182</v>
      </c>
    </row>
    <row r="82" spans="16:21">
      <c r="P82" s="14"/>
      <c r="Q82" s="1">
        <v>4.5</v>
      </c>
      <c r="R82" s="4">
        <v>120</v>
      </c>
      <c r="S82" s="4">
        <v>50</v>
      </c>
      <c r="T82" s="4"/>
      <c r="U82" s="4">
        <f>R82+S82+S82-(Q82*4)</f>
        <v>202</v>
      </c>
    </row>
    <row r="83" spans="16:21">
      <c r="P83" s="14" t="s">
        <v>39</v>
      </c>
      <c r="Q83" s="1">
        <v>4.5</v>
      </c>
      <c r="R83" s="4">
        <v>127</v>
      </c>
      <c r="S83" s="4">
        <v>50</v>
      </c>
      <c r="T83" s="4">
        <v>17</v>
      </c>
      <c r="U83" s="4">
        <f>R83+S83+S83+T83+T83-(Q83*8)</f>
        <v>225</v>
      </c>
    </row>
    <row r="84" spans="16:21">
      <c r="P84" s="14" t="s">
        <v>41</v>
      </c>
      <c r="Q84" s="1">
        <v>4.5</v>
      </c>
      <c r="R84" s="4">
        <v>150</v>
      </c>
      <c r="S84" s="4">
        <v>50</v>
      </c>
      <c r="T84" s="4"/>
      <c r="U84" s="4">
        <f>R84+S84+S84-(Q84*4)</f>
        <v>232</v>
      </c>
    </row>
    <row r="85" spans="16:21">
      <c r="P85" s="14" t="s">
        <v>43</v>
      </c>
      <c r="Q85" s="1">
        <v>4.5</v>
      </c>
      <c r="R85" s="4">
        <v>150</v>
      </c>
      <c r="S85" s="4">
        <v>60</v>
      </c>
      <c r="T85" s="4">
        <v>20</v>
      </c>
      <c r="U85" s="4">
        <f>R85+S85+S85+T85+T85-(Q85*8)</f>
        <v>274</v>
      </c>
    </row>
    <row r="86" spans="16:21">
      <c r="P86" s="14" t="s">
        <v>45</v>
      </c>
      <c r="Q86" s="1">
        <v>4.5</v>
      </c>
      <c r="R86" s="4">
        <v>150</v>
      </c>
      <c r="S86" s="4">
        <v>50</v>
      </c>
      <c r="T86" s="4">
        <v>20</v>
      </c>
      <c r="U86" s="4">
        <f>R86+S86+S86+T86+T86-(Q86*8)</f>
        <v>254</v>
      </c>
    </row>
    <row r="87" spans="16:21">
      <c r="P87" s="14" t="s">
        <v>47</v>
      </c>
      <c r="Q87" s="1">
        <v>4.5</v>
      </c>
      <c r="R87" s="4">
        <v>200</v>
      </c>
      <c r="S87" s="4">
        <v>50</v>
      </c>
      <c r="T87" s="4"/>
      <c r="U87" s="4">
        <f>R87+S87+S87-(Q87*4)</f>
        <v>282</v>
      </c>
    </row>
    <row r="88" spans="16:21">
      <c r="P88" s="14" t="s">
        <v>49</v>
      </c>
      <c r="Q88" s="1">
        <v>4.5</v>
      </c>
      <c r="R88" s="4">
        <v>200</v>
      </c>
      <c r="S88" s="4">
        <v>60</v>
      </c>
      <c r="T88" s="4">
        <v>20</v>
      </c>
      <c r="U88" s="4">
        <f>R88+S88+S88+T88+T88-(Q88*8)</f>
        <v>324</v>
      </c>
    </row>
    <row r="89" spans="16:21">
      <c r="P89" s="14" t="s">
        <v>51</v>
      </c>
      <c r="Q89" s="1">
        <v>4.5</v>
      </c>
      <c r="R89" s="4">
        <v>200</v>
      </c>
      <c r="S89" s="4">
        <v>75</v>
      </c>
      <c r="T89" s="4">
        <v>20</v>
      </c>
      <c r="U89" s="4">
        <f>R89+S89+S89+T89+T89-(Q89*8)</f>
        <v>354</v>
      </c>
    </row>
    <row r="90" spans="16:21" ht="15" thickBot="1">
      <c r="P90" s="16" t="s">
        <v>53</v>
      </c>
      <c r="Q90" s="1">
        <v>4.5</v>
      </c>
      <c r="R90" s="4">
        <v>210</v>
      </c>
      <c r="S90" s="4">
        <v>30</v>
      </c>
      <c r="T90" s="4">
        <v>15</v>
      </c>
      <c r="U90" s="4">
        <f>R90+S90+S90+T90+T90-(Q90*8)</f>
        <v>264</v>
      </c>
    </row>
  </sheetData>
  <mergeCells count="6">
    <mergeCell ref="L5:N6"/>
    <mergeCell ref="B1:J1"/>
    <mergeCell ref="L1:N1"/>
    <mergeCell ref="P1:U1"/>
    <mergeCell ref="C2:J2"/>
    <mergeCell ref="L2:N3"/>
  </mergeCells>
  <conditionalFormatting sqref="B2">
    <cfRule type="colorScale" priority="1">
      <colorScale>
        <cfvo type="min"/>
        <cfvo type="max"/>
        <color rgb="FFFF7128"/>
        <color rgb="FFFFEF9C"/>
      </colorScale>
    </cfRule>
    <cfRule type="colorScale" priority="2">
      <colorScale>
        <cfvo type="min"/>
        <cfvo type="max"/>
        <color rgb="FFFF7128"/>
        <color rgb="FFFFEF9C"/>
      </colorScale>
    </cfRule>
  </conditionalFormatting>
  <pageMargins left="0.511811024" right="0.511811024" top="0.78740157499999996" bottom="0.78740157499999996" header="0.31496062000000002" footer="0.31496062000000002"/>
  <pageSetup paperSize="9" orientation="portrait" horizontalDpi="0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OTAVIO NASCIMENTO SOUSA</dc:creator>
  <cp:keywords/>
  <dc:description/>
  <cp:lastModifiedBy>RICARDO SOUZA LOCATELI</cp:lastModifiedBy>
  <cp:revision/>
  <dcterms:created xsi:type="dcterms:W3CDTF">2026-06-11T18:08:27Z</dcterms:created>
  <dcterms:modified xsi:type="dcterms:W3CDTF">2026-06-12T11:27:25Z</dcterms:modified>
  <cp:category/>
  <cp:contentStatus/>
</cp:coreProperties>
</file>