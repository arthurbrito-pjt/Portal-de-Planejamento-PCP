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disacombr.sharepoint.com/sites/PortalPCP/Documentos Compartilhados/PCP/3.PERFILADOS/Controles/SLITTER/luan/"/>
    </mc:Choice>
  </mc:AlternateContent>
  <xr:revisionPtr revIDLastSave="15" documentId="13_ncr:1_{D811C14D-E2EF-4A2C-A876-CA5CC5094B35}" xr6:coauthVersionLast="47" xr6:coauthVersionMax="47" xr10:uidLastSave="{EBB6576B-0B37-42E6-9B2E-592E4F2FB6A4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1" l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K38" i="1"/>
  <c r="J38" i="1"/>
  <c r="B113" i="1"/>
  <c r="A113" i="1"/>
  <c r="K37" i="1"/>
  <c r="J37" i="1"/>
  <c r="B112" i="1"/>
  <c r="A112" i="1"/>
  <c r="K36" i="1"/>
  <c r="J36" i="1"/>
  <c r="B111" i="1"/>
  <c r="A111" i="1"/>
  <c r="K35" i="1"/>
  <c r="J35" i="1"/>
  <c r="B110" i="1"/>
  <c r="A110" i="1"/>
  <c r="K34" i="1"/>
  <c r="J34" i="1"/>
  <c r="B109" i="1"/>
  <c r="A109" i="1"/>
  <c r="F124" i="1"/>
  <c r="E124" i="1"/>
  <c r="B108" i="1"/>
  <c r="A108" i="1"/>
  <c r="F123" i="1"/>
  <c r="E123" i="1"/>
  <c r="B107" i="1"/>
  <c r="A107" i="1"/>
  <c r="F122" i="1"/>
  <c r="E122" i="1"/>
  <c r="B106" i="1"/>
  <c r="A106" i="1"/>
  <c r="F121" i="1"/>
  <c r="E121" i="1"/>
  <c r="B105" i="1"/>
  <c r="A105" i="1"/>
  <c r="F120" i="1"/>
  <c r="E120" i="1"/>
  <c r="B104" i="1"/>
  <c r="A104" i="1"/>
  <c r="F119" i="1"/>
  <c r="E119" i="1"/>
  <c r="B103" i="1"/>
  <c r="A103" i="1"/>
  <c r="F118" i="1"/>
  <c r="E118" i="1"/>
  <c r="B102" i="1"/>
  <c r="A102" i="1"/>
  <c r="F117" i="1"/>
  <c r="E117" i="1"/>
  <c r="B101" i="1"/>
  <c r="A101" i="1"/>
  <c r="F116" i="1"/>
  <c r="E116" i="1"/>
  <c r="B100" i="1"/>
  <c r="A100" i="1"/>
  <c r="F115" i="1"/>
  <c r="E115" i="1"/>
  <c r="B99" i="1"/>
  <c r="A99" i="1"/>
  <c r="F114" i="1"/>
  <c r="E114" i="1"/>
  <c r="B98" i="1"/>
  <c r="A98" i="1"/>
  <c r="F113" i="1"/>
  <c r="E113" i="1"/>
  <c r="B97" i="1"/>
  <c r="A97" i="1"/>
  <c r="F112" i="1"/>
  <c r="E112" i="1"/>
  <c r="B96" i="1"/>
  <c r="A96" i="1"/>
  <c r="F111" i="1"/>
  <c r="E111" i="1"/>
  <c r="B95" i="1"/>
  <c r="A95" i="1"/>
  <c r="F110" i="1"/>
  <c r="E110" i="1"/>
  <c r="B94" i="1"/>
  <c r="A94" i="1"/>
  <c r="F109" i="1"/>
  <c r="E109" i="1"/>
  <c r="B93" i="1"/>
  <c r="A93" i="1"/>
  <c r="F108" i="1"/>
  <c r="E108" i="1"/>
  <c r="B92" i="1"/>
  <c r="A92" i="1"/>
  <c r="F107" i="1"/>
  <c r="E107" i="1"/>
  <c r="B91" i="1"/>
  <c r="A91" i="1"/>
  <c r="F106" i="1"/>
  <c r="E106" i="1"/>
  <c r="B90" i="1"/>
  <c r="A90" i="1"/>
  <c r="F105" i="1"/>
  <c r="E105" i="1"/>
  <c r="B89" i="1"/>
  <c r="A89" i="1"/>
  <c r="F104" i="1"/>
  <c r="E104" i="1"/>
  <c r="B88" i="1"/>
  <c r="A88" i="1"/>
  <c r="F103" i="1"/>
  <c r="E103" i="1"/>
  <c r="B87" i="1"/>
  <c r="A87" i="1"/>
  <c r="F102" i="1"/>
  <c r="E102" i="1"/>
  <c r="B86" i="1"/>
  <c r="A86" i="1"/>
  <c r="F101" i="1"/>
  <c r="E101" i="1"/>
  <c r="B83" i="1"/>
  <c r="A83" i="1"/>
  <c r="F100" i="1"/>
  <c r="E100" i="1"/>
  <c r="B82" i="1"/>
  <c r="A82" i="1"/>
  <c r="F99" i="1"/>
  <c r="E99" i="1"/>
  <c r="B81" i="1"/>
  <c r="A81" i="1"/>
  <c r="F98" i="1"/>
  <c r="E98" i="1"/>
  <c r="B80" i="1"/>
  <c r="A80" i="1"/>
  <c r="F97" i="1"/>
  <c r="E97" i="1"/>
  <c r="B79" i="1"/>
  <c r="A79" i="1"/>
  <c r="F96" i="1"/>
  <c r="E96" i="1"/>
  <c r="B78" i="1"/>
  <c r="A78" i="1"/>
  <c r="F95" i="1"/>
  <c r="E95" i="1"/>
  <c r="B77" i="1"/>
  <c r="A77" i="1"/>
  <c r="F94" i="1"/>
  <c r="E94" i="1"/>
  <c r="B76" i="1"/>
  <c r="A76" i="1"/>
  <c r="F93" i="1"/>
  <c r="E93" i="1"/>
  <c r="B75" i="1"/>
  <c r="A75" i="1"/>
  <c r="F92" i="1"/>
  <c r="E92" i="1"/>
  <c r="B74" i="1"/>
  <c r="A74" i="1"/>
  <c r="F91" i="1"/>
  <c r="E91" i="1"/>
  <c r="B73" i="1"/>
  <c r="A73" i="1"/>
  <c r="F90" i="1"/>
  <c r="E90" i="1"/>
  <c r="B72" i="1"/>
  <c r="A72" i="1"/>
  <c r="F89" i="1"/>
  <c r="E89" i="1"/>
  <c r="B71" i="1"/>
  <c r="A71" i="1"/>
  <c r="F88" i="1"/>
  <c r="E88" i="1"/>
  <c r="B70" i="1"/>
  <c r="A70" i="1"/>
  <c r="F87" i="1"/>
  <c r="E87" i="1"/>
  <c r="B69" i="1"/>
  <c r="A69" i="1"/>
  <c r="F86" i="1"/>
  <c r="E86" i="1"/>
  <c r="B68" i="1"/>
  <c r="A68" i="1"/>
  <c r="F85" i="1"/>
  <c r="E85" i="1"/>
  <c r="B67" i="1"/>
  <c r="A67" i="1"/>
  <c r="F84" i="1"/>
  <c r="E84" i="1"/>
  <c r="B66" i="1"/>
  <c r="A66" i="1"/>
  <c r="F83" i="1"/>
  <c r="E83" i="1"/>
  <c r="B65" i="1"/>
  <c r="A65" i="1"/>
  <c r="F82" i="1"/>
  <c r="E82" i="1"/>
  <c r="B62" i="1"/>
  <c r="A62" i="1"/>
  <c r="F81" i="1"/>
  <c r="E81" i="1"/>
  <c r="B61" i="1"/>
  <c r="A61" i="1"/>
  <c r="F80" i="1"/>
  <c r="E80" i="1"/>
  <c r="B60" i="1"/>
  <c r="A60" i="1"/>
  <c r="F79" i="1"/>
  <c r="E79" i="1"/>
  <c r="B59" i="1"/>
  <c r="A59" i="1"/>
  <c r="F78" i="1"/>
  <c r="E78" i="1"/>
  <c r="B58" i="1"/>
  <c r="A58" i="1"/>
  <c r="F77" i="1"/>
  <c r="E77" i="1"/>
  <c r="B57" i="1"/>
  <c r="A57" i="1"/>
  <c r="F76" i="1"/>
  <c r="E76" i="1"/>
  <c r="B56" i="1"/>
  <c r="A56" i="1"/>
  <c r="F75" i="1"/>
  <c r="E75" i="1"/>
  <c r="B55" i="1"/>
  <c r="A55" i="1"/>
  <c r="F74" i="1"/>
  <c r="E74" i="1"/>
  <c r="B54" i="1"/>
  <c r="A54" i="1"/>
  <c r="F73" i="1"/>
  <c r="E73" i="1"/>
  <c r="B53" i="1"/>
  <c r="A53" i="1"/>
  <c r="F72" i="1"/>
  <c r="E72" i="1"/>
  <c r="B52" i="1"/>
  <c r="A52" i="1"/>
  <c r="F71" i="1"/>
  <c r="E71" i="1"/>
  <c r="B51" i="1"/>
  <c r="A51" i="1"/>
  <c r="F70" i="1"/>
  <c r="E70" i="1"/>
  <c r="B50" i="1"/>
  <c r="A50" i="1"/>
  <c r="F69" i="1"/>
  <c r="E69" i="1"/>
  <c r="B49" i="1"/>
  <c r="A49" i="1"/>
  <c r="F68" i="1"/>
  <c r="E68" i="1"/>
  <c r="B48" i="1"/>
  <c r="A48" i="1"/>
  <c r="F67" i="1"/>
  <c r="E67" i="1"/>
  <c r="B47" i="1"/>
  <c r="A47" i="1"/>
  <c r="F66" i="1"/>
  <c r="E66" i="1"/>
  <c r="B46" i="1"/>
  <c r="A46" i="1"/>
  <c r="F65" i="1"/>
  <c r="E65" i="1"/>
  <c r="B45" i="1"/>
  <c r="A45" i="1"/>
  <c r="F64" i="1"/>
  <c r="E64" i="1"/>
  <c r="B44" i="1"/>
  <c r="A44" i="1"/>
  <c r="F63" i="1"/>
  <c r="E63" i="1"/>
  <c r="B43" i="1"/>
  <c r="A43" i="1"/>
  <c r="F62" i="1"/>
  <c r="E62" i="1"/>
  <c r="B42" i="1"/>
  <c r="A42" i="1"/>
  <c r="F61" i="1"/>
  <c r="E61" i="1"/>
  <c r="B41" i="1"/>
  <c r="A41" i="1"/>
  <c r="F60" i="1"/>
  <c r="E60" i="1"/>
  <c r="B40" i="1"/>
  <c r="A40" i="1"/>
  <c r="F59" i="1"/>
  <c r="E59" i="1"/>
  <c r="B39" i="1"/>
  <c r="A39" i="1"/>
  <c r="F58" i="1"/>
  <c r="E58" i="1"/>
  <c r="B38" i="1"/>
  <c r="A38" i="1"/>
  <c r="F57" i="1"/>
  <c r="E57" i="1"/>
  <c r="B37" i="1"/>
  <c r="A37" i="1"/>
  <c r="F56" i="1"/>
  <c r="E56" i="1"/>
  <c r="B36" i="1"/>
  <c r="A36" i="1"/>
  <c r="F55" i="1"/>
  <c r="E55" i="1"/>
  <c r="B35" i="1"/>
  <c r="A35" i="1"/>
  <c r="F54" i="1"/>
  <c r="E54" i="1"/>
  <c r="B34" i="1"/>
  <c r="A34" i="1"/>
</calcChain>
</file>

<file path=xl/sharedStrings.xml><?xml version="1.0" encoding="utf-8"?>
<sst xmlns="http://schemas.openxmlformats.org/spreadsheetml/2006/main" count="149" uniqueCount="121">
  <si>
    <t>LARGURA DE SLITERS</t>
  </si>
  <si>
    <t>Tubos</t>
  </si>
  <si>
    <t>Diâmetro</t>
  </si>
  <si>
    <t>Quadrado</t>
  </si>
  <si>
    <t>Retangular Outros</t>
  </si>
  <si>
    <t>Pol</t>
  </si>
  <si>
    <t>mm</t>
  </si>
  <si>
    <t>1/2"</t>
  </si>
  <si>
    <t>-</t>
  </si>
  <si>
    <t>5/8"</t>
  </si>
  <si>
    <t>3/4"</t>
  </si>
  <si>
    <t>15x15</t>
  </si>
  <si>
    <t>Pat 1/2"</t>
  </si>
  <si>
    <t>7/8"</t>
  </si>
  <si>
    <t>1"</t>
  </si>
  <si>
    <t>20x20</t>
  </si>
  <si>
    <t>OBL 30x16</t>
  </si>
  <si>
    <t>Pat 3/4"</t>
  </si>
  <si>
    <t>1.1/4"</t>
  </si>
  <si>
    <t>25x25</t>
  </si>
  <si>
    <t>15x35   20x30</t>
  </si>
  <si>
    <t>Pat 1"</t>
  </si>
  <si>
    <t>1.3/8"</t>
  </si>
  <si>
    <t>1.1/2"</t>
  </si>
  <si>
    <t>30x30</t>
  </si>
  <si>
    <t>20x40   25x35      OBL 20x48</t>
  </si>
  <si>
    <t>Pat 1.1/4"</t>
  </si>
  <si>
    <t>1.3/4"</t>
  </si>
  <si>
    <t>20x50  30x40</t>
  </si>
  <si>
    <t>Pat 1.1/2"</t>
  </si>
  <si>
    <t>2"</t>
  </si>
  <si>
    <t>40x40</t>
  </si>
  <si>
    <t>30x50  20x60  Lateral Cama</t>
  </si>
  <si>
    <t>2.1/4"</t>
  </si>
  <si>
    <t>30x60  40x50</t>
  </si>
  <si>
    <t>Pat 2"</t>
  </si>
  <si>
    <t>2.1/2"</t>
  </si>
  <si>
    <t>50x50</t>
  </si>
  <si>
    <t>30x70  40x60</t>
  </si>
  <si>
    <t>3" Pat 2.1/2"</t>
  </si>
  <si>
    <t>60x60</t>
  </si>
  <si>
    <t>40x80</t>
  </si>
  <si>
    <t>3.1/2"     Pat 3"</t>
  </si>
  <si>
    <t>70x70</t>
  </si>
  <si>
    <t>60x80  40x100</t>
  </si>
  <si>
    <t>4"            Pat 3.1/2"</t>
  </si>
  <si>
    <t>80x80</t>
  </si>
  <si>
    <t>60x100</t>
  </si>
  <si>
    <t>4.1/2"     Pat 4"</t>
  </si>
  <si>
    <t>90x90</t>
  </si>
  <si>
    <t>80x100</t>
  </si>
  <si>
    <t>5"            Pat 4.1/2"</t>
  </si>
  <si>
    <t>100x100</t>
  </si>
  <si>
    <t>3.3/4"</t>
  </si>
  <si>
    <t>50x100</t>
  </si>
  <si>
    <t>Item</t>
  </si>
  <si>
    <t>Descrição</t>
  </si>
  <si>
    <t>SLT20474</t>
  </si>
  <si>
    <t>SLITTER 1,95 X 67</t>
  </si>
  <si>
    <t>SLT21230</t>
  </si>
  <si>
    <t>SLITTER 1,11 X 40</t>
  </si>
  <si>
    <t>SLT21235</t>
  </si>
  <si>
    <t>SLITTER 1,11 X 50</t>
  </si>
  <si>
    <t>SLT21240</t>
  </si>
  <si>
    <t>SLITTER 1,11 X 60</t>
  </si>
  <si>
    <t>SLT21245</t>
  </si>
  <si>
    <t>SLITTER 1,11 X 69</t>
  </si>
  <si>
    <t>SLT21250</t>
  </si>
  <si>
    <t>SLITTER 1,11 X 79</t>
  </si>
  <si>
    <t>SLT21255</t>
  </si>
  <si>
    <t>SLITTER 1,11 X 82</t>
  </si>
  <si>
    <t>SLT21260</t>
  </si>
  <si>
    <t>SLITTER 1,11 X 99</t>
  </si>
  <si>
    <t>SLT21265</t>
  </si>
  <si>
    <t>SLITTER 1,11 X 119</t>
  </si>
  <si>
    <t>SLT21270</t>
  </si>
  <si>
    <t>SLITTER 1,11 X 139</t>
  </si>
  <si>
    <t>SLT21275</t>
  </si>
  <si>
    <t>SLITTER 1,11 X 150</t>
  </si>
  <si>
    <t>SLT21280</t>
  </si>
  <si>
    <t>SLITTER 1,11 X 159</t>
  </si>
  <si>
    <t>SLT20000</t>
  </si>
  <si>
    <t>SLITTER 1,20 X 79</t>
  </si>
  <si>
    <t>SLT20005</t>
  </si>
  <si>
    <t>SLITTER 1,20 X 99</t>
  </si>
  <si>
    <t>SLT20010</t>
  </si>
  <si>
    <t>SLITTER 1,20 X 109</t>
  </si>
  <si>
    <t>SLT20015</t>
  </si>
  <si>
    <t>SLITTER 1,20 X 119</t>
  </si>
  <si>
    <t>SLT20020</t>
  </si>
  <si>
    <t>SLITTER 1,20 X 139</t>
  </si>
  <si>
    <t>SLT20025</t>
  </si>
  <si>
    <t>SLITTER 1,20 X 159</t>
  </si>
  <si>
    <t>SLT20030</t>
  </si>
  <si>
    <t>SLITTER 1,20 X 180</t>
  </si>
  <si>
    <t>SLT20035</t>
  </si>
  <si>
    <t>SLITTER 1,20 X 199</t>
  </si>
  <si>
    <t>SLT20087</t>
  </si>
  <si>
    <t>SLITTER 1,55 X 59</t>
  </si>
  <si>
    <t>SLT20040</t>
  </si>
  <si>
    <t>SLITTER 1,20 X 239</t>
  </si>
  <si>
    <t>SLT20089</t>
  </si>
  <si>
    <t>SLITTER 1,55 X 69</t>
  </si>
  <si>
    <t>SLT21205</t>
  </si>
  <si>
    <t>SLITTER 0,95 X 80</t>
  </si>
  <si>
    <t>SLT21210</t>
  </si>
  <si>
    <t>SLITTER 0,95 X 100</t>
  </si>
  <si>
    <t>SLT21215</t>
  </si>
  <si>
    <t>SLITTER 0,95 X 120</t>
  </si>
  <si>
    <t>SLT21217</t>
  </si>
  <si>
    <t>SLITTER 0,95 X 140</t>
  </si>
  <si>
    <t>SLT21220</t>
  </si>
  <si>
    <t>SLITTER 0,95 X 160</t>
  </si>
  <si>
    <t>SLT21225</t>
  </si>
  <si>
    <t>SLITTER 0,95 X 180</t>
  </si>
  <si>
    <t>SLT20283</t>
  </si>
  <si>
    <t>SLITTER 1,80 X 57</t>
  </si>
  <si>
    <t>SLT20284</t>
  </si>
  <si>
    <t>SLITTER 1,80 X 67</t>
  </si>
  <si>
    <t>SLT20473</t>
  </si>
  <si>
    <t>SLITTER 1,95 X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</si>
</sst>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_(&quot;$&quot;* #,##0.00_);_(&quot;$&quot;* \(#,##0.00\);_(&quot;$&quot;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6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9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8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 applyNumberForma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" fillId="8" borderId="8" applyNumberFormat="0" applyFont="0" applyAlignment="0" applyProtection="0"/>
    <xf numFmtId="9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" fillId="8" borderId="8" applyNumberFormat="0" applyFont="0" applyAlignment="0" applyProtection="0"/>
    <xf numFmtId="9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38">
    <xf numFmtId="0" fontId="0" fillId="0" borderId="0" xfId="0"/>
    <xf numFmtId="0" fontId="18" fillId="0" borderId="0" xfId="42"/>
    <xf numFmtId="0" fontId="22" fillId="0" borderId="0" xfId="42" applyFont="1" applyAlignment="1">
      <alignment horizontal="center" vertical="center"/>
    </xf>
    <xf numFmtId="0" fontId="25" fillId="0" borderId="10" xfId="42" applyFont="1" applyBorder="1" applyAlignment="1">
      <alignment horizontal="center" vertical="center" wrapText="1"/>
    </xf>
    <xf numFmtId="2" fontId="25" fillId="0" borderId="10" xfId="42" applyNumberFormat="1" applyFont="1" applyBorder="1" applyAlignment="1">
      <alignment horizontal="center" vertical="center" wrapText="1"/>
    </xf>
    <xf numFmtId="0" fontId="19" fillId="0" borderId="10" xfId="42" applyFont="1" applyBorder="1" applyAlignment="1">
      <alignment horizontal="center" vertical="center"/>
    </xf>
    <xf numFmtId="0" fontId="25" fillId="0" borderId="10" xfId="42" applyFont="1" applyBorder="1" applyAlignment="1">
      <alignment horizontal="center" vertical="center"/>
    </xf>
    <xf numFmtId="0" fontId="19" fillId="33" borderId="10" xfId="42" applyFont="1" applyFill="1" applyBorder="1" applyAlignment="1">
      <alignment horizontal="center" vertical="center"/>
    </xf>
    <xf numFmtId="0" fontId="19" fillId="34" borderId="10" xfId="42" applyFont="1" applyFill="1" applyBorder="1" applyAlignment="1">
      <alignment horizontal="center" vertical="center"/>
    </xf>
    <xf numFmtId="0" fontId="25" fillId="34" borderId="10" xfId="42" applyFont="1" applyFill="1" applyBorder="1" applyAlignment="1">
      <alignment horizontal="center" vertical="center" wrapText="1"/>
    </xf>
    <xf numFmtId="0" fontId="25" fillId="33" borderId="10" xfId="42" applyFont="1" applyFill="1" applyBorder="1" applyAlignment="1">
      <alignment horizontal="center" vertical="center"/>
    </xf>
    <xf numFmtId="0" fontId="25" fillId="34" borderId="10" xfId="42" applyFont="1" applyFill="1" applyBorder="1" applyAlignment="1">
      <alignment horizontal="center" vertical="center"/>
    </xf>
    <xf numFmtId="0" fontId="25" fillId="33" borderId="10" xfId="42" applyFont="1" applyFill="1" applyBorder="1" applyAlignment="1">
      <alignment horizontal="center" vertical="center" wrapText="1"/>
    </xf>
    <xf numFmtId="0" fontId="0" fillId="0" borderId="10" xfId="0" applyBorder="1"/>
    <xf numFmtId="0" fontId="23" fillId="0" borderId="10" xfId="42" applyFont="1" applyBorder="1" applyAlignment="1">
      <alignment horizontal="center" vertical="center" wrapText="1"/>
    </xf>
    <xf numFmtId="0" fontId="16" fillId="35" borderId="10" xfId="0" applyFont="1" applyFill="1" applyBorder="1"/>
    <xf numFmtId="0" fontId="0" fillId="0" borderId="11" xfId="0" applyBorder="1"/>
    <xf numFmtId="0" fontId="16" fillId="36" borderId="10" xfId="0" applyFont="1" applyFill="1" applyBorder="1"/>
    <xf numFmtId="0" fontId="0" fillId="36" borderId="10" xfId="0" applyFill="1" applyBorder="1"/>
    <xf numFmtId="0" fontId="0" fillId="0" borderId="14" xfId="0" applyBorder="1"/>
    <xf numFmtId="0" fontId="0" fillId="0" borderId="13" xfId="0" applyBorder="1"/>
    <xf numFmtId="0" fontId="26" fillId="3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left" vertical="center"/>
    </xf>
    <xf numFmtId="0" fontId="0" fillId="0" borderId="12" xfId="0" applyBorder="1"/>
    <xf numFmtId="0" fontId="26" fillId="0" borderId="15" xfId="0" applyFont="1" applyBorder="1" applyAlignment="1">
      <alignment horizontal="center" vertical="center"/>
    </xf>
    <xf numFmtId="0" fontId="26" fillId="0" borderId="15" xfId="0" applyFont="1" applyBorder="1" applyAlignment="1">
      <alignment vertical="center"/>
    </xf>
    <xf numFmtId="2" fontId="23" fillId="0" borderId="10" xfId="42" applyNumberFormat="1" applyFont="1" applyBorder="1" applyAlignment="1">
      <alignment horizontal="center" vertical="center"/>
    </xf>
    <xf numFmtId="0" fontId="16" fillId="35" borderId="13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21" fillId="0" borderId="0" xfId="42" applyFont="1" applyAlignment="1">
      <alignment horizontal="center" vertical="center" wrapText="1"/>
    </xf>
    <xf numFmtId="0" fontId="22" fillId="0" borderId="0" xfId="42" applyFont="1" applyAlignment="1">
      <alignment horizontal="center" vertical="center"/>
    </xf>
    <xf numFmtId="0" fontId="23" fillId="0" borderId="10" xfId="42" applyFont="1" applyBorder="1" applyAlignment="1">
      <alignment horizontal="center" vertical="center" wrapText="1"/>
    </xf>
    <xf numFmtId="2" fontId="23" fillId="0" borderId="10" xfId="42" applyNumberFormat="1" applyFont="1" applyBorder="1" applyAlignment="1">
      <alignment horizontal="center" vertical="center"/>
    </xf>
    <xf numFmtId="2" fontId="24" fillId="0" borderId="10" xfId="42" applyNumberFormat="1" applyFont="1" applyBorder="1" applyAlignment="1">
      <alignment horizontal="center" vertical="center" wrapText="1"/>
    </xf>
    <xf numFmtId="2" fontId="24" fillId="0" borderId="10" xfId="42" applyNumberFormat="1" applyFont="1" applyBorder="1" applyAlignment="1">
      <alignment horizontal="center" vertical="center"/>
    </xf>
    <xf numFmtId="0" fontId="16" fillId="35" borderId="10" xfId="0" applyFont="1" applyFill="1" applyBorder="1" applyAlignment="1">
      <alignment horizontal="center"/>
    </xf>
    <xf numFmtId="0" fontId="16" fillId="35" borderId="13" xfId="0" applyFont="1" applyFill="1" applyBorder="1" applyAlignment="1">
      <alignment horizontal="center"/>
    </xf>
  </cellXfs>
  <cellStyles count="1285">
    <cellStyle name="20% - Ênfase1" xfId="19" builtinId="30" customBuiltin="1"/>
    <cellStyle name="20% - Ênfase1 10" xfId="170" xr:uid="{00000000-0005-0000-0000-000001000000}"/>
    <cellStyle name="20% - Ênfase1 10 2" xfId="769" xr:uid="{00000000-0005-0000-0000-000002000000}"/>
    <cellStyle name="20% - Ênfase1 11" xfId="184" xr:uid="{00000000-0005-0000-0000-000003000000}"/>
    <cellStyle name="20% - Ênfase1 11 2" xfId="783" xr:uid="{00000000-0005-0000-0000-000004000000}"/>
    <cellStyle name="20% - Ênfase1 12" xfId="198" xr:uid="{00000000-0005-0000-0000-000005000000}"/>
    <cellStyle name="20% - Ênfase1 12 2" xfId="797" xr:uid="{00000000-0005-0000-0000-000006000000}"/>
    <cellStyle name="20% - Ênfase1 13" xfId="212" xr:uid="{00000000-0005-0000-0000-000007000000}"/>
    <cellStyle name="20% - Ênfase1 13 2" xfId="811" xr:uid="{00000000-0005-0000-0000-000008000000}"/>
    <cellStyle name="20% - Ênfase1 14" xfId="226" xr:uid="{00000000-0005-0000-0000-000009000000}"/>
    <cellStyle name="20% - Ênfase1 14 2" xfId="825" xr:uid="{00000000-0005-0000-0000-00000A000000}"/>
    <cellStyle name="20% - Ênfase1 15" xfId="240" xr:uid="{00000000-0005-0000-0000-00000B000000}"/>
    <cellStyle name="20% - Ênfase1 15 2" xfId="839" xr:uid="{00000000-0005-0000-0000-00000C000000}"/>
    <cellStyle name="20% - Ênfase1 16" xfId="254" xr:uid="{00000000-0005-0000-0000-00000D000000}"/>
    <cellStyle name="20% - Ênfase1 16 2" xfId="853" xr:uid="{00000000-0005-0000-0000-00000E000000}"/>
    <cellStyle name="20% - Ênfase1 17" xfId="268" xr:uid="{00000000-0005-0000-0000-00000F000000}"/>
    <cellStyle name="20% - Ênfase1 17 2" xfId="867" xr:uid="{00000000-0005-0000-0000-000010000000}"/>
    <cellStyle name="20% - Ênfase1 18" xfId="282" xr:uid="{00000000-0005-0000-0000-000011000000}"/>
    <cellStyle name="20% - Ênfase1 18 2" xfId="881" xr:uid="{00000000-0005-0000-0000-000012000000}"/>
    <cellStyle name="20% - Ênfase1 19" xfId="296" xr:uid="{00000000-0005-0000-0000-000013000000}"/>
    <cellStyle name="20% - Ênfase1 19 2" xfId="895" xr:uid="{00000000-0005-0000-0000-000014000000}"/>
    <cellStyle name="20% - Ênfase1 2" xfId="58" xr:uid="{00000000-0005-0000-0000-000015000000}"/>
    <cellStyle name="20% - Ênfase1 2 2" xfId="671" xr:uid="{00000000-0005-0000-0000-000016000000}"/>
    <cellStyle name="20% - Ênfase1 20" xfId="310" xr:uid="{00000000-0005-0000-0000-000017000000}"/>
    <cellStyle name="20% - Ênfase1 20 2" xfId="909" xr:uid="{00000000-0005-0000-0000-000018000000}"/>
    <cellStyle name="20% - Ênfase1 21" xfId="324" xr:uid="{00000000-0005-0000-0000-000019000000}"/>
    <cellStyle name="20% - Ênfase1 21 2" xfId="923" xr:uid="{00000000-0005-0000-0000-00001A000000}"/>
    <cellStyle name="20% - Ênfase1 22" xfId="338" xr:uid="{00000000-0005-0000-0000-00001B000000}"/>
    <cellStyle name="20% - Ênfase1 22 2" xfId="937" xr:uid="{00000000-0005-0000-0000-00001C000000}"/>
    <cellStyle name="20% - Ênfase1 23" xfId="352" xr:uid="{00000000-0005-0000-0000-00001D000000}"/>
    <cellStyle name="20% - Ênfase1 23 2" xfId="951" xr:uid="{00000000-0005-0000-0000-00001E000000}"/>
    <cellStyle name="20% - Ênfase1 24" xfId="366" xr:uid="{00000000-0005-0000-0000-00001F000000}"/>
    <cellStyle name="20% - Ênfase1 24 2" xfId="965" xr:uid="{00000000-0005-0000-0000-000020000000}"/>
    <cellStyle name="20% - Ênfase1 25" xfId="380" xr:uid="{00000000-0005-0000-0000-000021000000}"/>
    <cellStyle name="20% - Ênfase1 25 2" xfId="979" xr:uid="{00000000-0005-0000-0000-000022000000}"/>
    <cellStyle name="20% - Ênfase1 26" xfId="394" xr:uid="{00000000-0005-0000-0000-000023000000}"/>
    <cellStyle name="20% - Ênfase1 26 2" xfId="993" xr:uid="{00000000-0005-0000-0000-000024000000}"/>
    <cellStyle name="20% - Ênfase1 27" xfId="408" xr:uid="{00000000-0005-0000-0000-000025000000}"/>
    <cellStyle name="20% - Ênfase1 27 2" xfId="1007" xr:uid="{00000000-0005-0000-0000-000026000000}"/>
    <cellStyle name="20% - Ênfase1 28" xfId="422" xr:uid="{00000000-0005-0000-0000-000027000000}"/>
    <cellStyle name="20% - Ênfase1 28 2" xfId="1021" xr:uid="{00000000-0005-0000-0000-000028000000}"/>
    <cellStyle name="20% - Ênfase1 29" xfId="436" xr:uid="{00000000-0005-0000-0000-000029000000}"/>
    <cellStyle name="20% - Ênfase1 29 2" xfId="1035" xr:uid="{00000000-0005-0000-0000-00002A000000}"/>
    <cellStyle name="20% - Ênfase1 3" xfId="72" xr:uid="{00000000-0005-0000-0000-00002B000000}"/>
    <cellStyle name="20% - Ênfase1 3 2" xfId="685" xr:uid="{00000000-0005-0000-0000-00002C000000}"/>
    <cellStyle name="20% - Ênfase1 30" xfId="450" xr:uid="{00000000-0005-0000-0000-00002D000000}"/>
    <cellStyle name="20% - Ênfase1 30 2" xfId="1049" xr:uid="{00000000-0005-0000-0000-00002E000000}"/>
    <cellStyle name="20% - Ênfase1 31" xfId="464" xr:uid="{00000000-0005-0000-0000-00002F000000}"/>
    <cellStyle name="20% - Ênfase1 31 2" xfId="1063" xr:uid="{00000000-0005-0000-0000-000030000000}"/>
    <cellStyle name="20% - Ênfase1 32" xfId="478" xr:uid="{00000000-0005-0000-0000-000031000000}"/>
    <cellStyle name="20% - Ênfase1 32 2" xfId="1077" xr:uid="{00000000-0005-0000-0000-000032000000}"/>
    <cellStyle name="20% - Ênfase1 33" xfId="492" xr:uid="{00000000-0005-0000-0000-000033000000}"/>
    <cellStyle name="20% - Ênfase1 33 2" xfId="1091" xr:uid="{00000000-0005-0000-0000-000034000000}"/>
    <cellStyle name="20% - Ênfase1 34" xfId="506" xr:uid="{00000000-0005-0000-0000-000035000000}"/>
    <cellStyle name="20% - Ênfase1 34 2" xfId="1105" xr:uid="{00000000-0005-0000-0000-000036000000}"/>
    <cellStyle name="20% - Ênfase1 35" xfId="520" xr:uid="{00000000-0005-0000-0000-000037000000}"/>
    <cellStyle name="20% - Ênfase1 35 2" xfId="1119" xr:uid="{00000000-0005-0000-0000-000038000000}"/>
    <cellStyle name="20% - Ênfase1 36" xfId="534" xr:uid="{00000000-0005-0000-0000-000039000000}"/>
    <cellStyle name="20% - Ênfase1 36 2" xfId="1133" xr:uid="{00000000-0005-0000-0000-00003A000000}"/>
    <cellStyle name="20% - Ênfase1 37" xfId="548" xr:uid="{00000000-0005-0000-0000-00003B000000}"/>
    <cellStyle name="20% - Ênfase1 37 2" xfId="1147" xr:uid="{00000000-0005-0000-0000-00003C000000}"/>
    <cellStyle name="20% - Ênfase1 38" xfId="562" xr:uid="{00000000-0005-0000-0000-00003D000000}"/>
    <cellStyle name="20% - Ênfase1 38 2" xfId="1161" xr:uid="{00000000-0005-0000-0000-00003E000000}"/>
    <cellStyle name="20% - Ênfase1 39" xfId="576" xr:uid="{00000000-0005-0000-0000-00003F000000}"/>
    <cellStyle name="20% - Ênfase1 39 2" xfId="1175" xr:uid="{00000000-0005-0000-0000-000040000000}"/>
    <cellStyle name="20% - Ênfase1 4" xfId="86" xr:uid="{00000000-0005-0000-0000-000041000000}"/>
    <cellStyle name="20% - Ênfase1 4 2" xfId="699" xr:uid="{00000000-0005-0000-0000-000042000000}"/>
    <cellStyle name="20% - Ênfase1 40" xfId="590" xr:uid="{00000000-0005-0000-0000-000043000000}"/>
    <cellStyle name="20% - Ênfase1 40 2" xfId="1189" xr:uid="{00000000-0005-0000-0000-000044000000}"/>
    <cellStyle name="20% - Ênfase1 41" xfId="604" xr:uid="{00000000-0005-0000-0000-000045000000}"/>
    <cellStyle name="20% - Ênfase1 41 2" xfId="1203" xr:uid="{00000000-0005-0000-0000-000046000000}"/>
    <cellStyle name="20% - Ênfase1 42" xfId="618" xr:uid="{00000000-0005-0000-0000-000047000000}"/>
    <cellStyle name="20% - Ênfase1 42 2" xfId="1217" xr:uid="{00000000-0005-0000-0000-000048000000}"/>
    <cellStyle name="20% - Ênfase1 43" xfId="632" xr:uid="{00000000-0005-0000-0000-000049000000}"/>
    <cellStyle name="20% - Ênfase1 43 2" xfId="1231" xr:uid="{00000000-0005-0000-0000-00004A000000}"/>
    <cellStyle name="20% - Ênfase1 44" xfId="646" xr:uid="{00000000-0005-0000-0000-00004B000000}"/>
    <cellStyle name="20% - Ênfase1 45" xfId="1245" xr:uid="{00000000-0005-0000-0000-00004C000000}"/>
    <cellStyle name="20% - Ênfase1 46" xfId="1259" xr:uid="{00000000-0005-0000-0000-00004D000000}"/>
    <cellStyle name="20% - Ênfase1 47" xfId="1273" xr:uid="{00000000-0005-0000-0000-00004E000000}"/>
    <cellStyle name="20% - Ênfase1 5" xfId="100" xr:uid="{00000000-0005-0000-0000-00004F000000}"/>
    <cellStyle name="20% - Ênfase1 5 2" xfId="713" xr:uid="{00000000-0005-0000-0000-000050000000}"/>
    <cellStyle name="20% - Ênfase1 6" xfId="114" xr:uid="{00000000-0005-0000-0000-000051000000}"/>
    <cellStyle name="20% - Ênfase1 6 2" xfId="727" xr:uid="{00000000-0005-0000-0000-000052000000}"/>
    <cellStyle name="20% - Ênfase1 7" xfId="128" xr:uid="{00000000-0005-0000-0000-000053000000}"/>
    <cellStyle name="20% - Ênfase1 7 2" xfId="741" xr:uid="{00000000-0005-0000-0000-000054000000}"/>
    <cellStyle name="20% - Ênfase1 8" xfId="142" xr:uid="{00000000-0005-0000-0000-000055000000}"/>
    <cellStyle name="20% - Ênfase1 8 2" xfId="755" xr:uid="{00000000-0005-0000-0000-000056000000}"/>
    <cellStyle name="20% - Ênfase1 9" xfId="156" xr:uid="{00000000-0005-0000-0000-000057000000}"/>
    <cellStyle name="20% - Ênfase2" xfId="23" builtinId="34" customBuiltin="1"/>
    <cellStyle name="20% - Ênfase2 10" xfId="172" xr:uid="{00000000-0005-0000-0000-000059000000}"/>
    <cellStyle name="20% - Ênfase2 10 2" xfId="771" xr:uid="{00000000-0005-0000-0000-00005A000000}"/>
    <cellStyle name="20% - Ênfase2 11" xfId="186" xr:uid="{00000000-0005-0000-0000-00005B000000}"/>
    <cellStyle name="20% - Ênfase2 11 2" xfId="785" xr:uid="{00000000-0005-0000-0000-00005C000000}"/>
    <cellStyle name="20% - Ênfase2 12" xfId="200" xr:uid="{00000000-0005-0000-0000-00005D000000}"/>
    <cellStyle name="20% - Ênfase2 12 2" xfId="799" xr:uid="{00000000-0005-0000-0000-00005E000000}"/>
    <cellStyle name="20% - Ênfase2 13" xfId="214" xr:uid="{00000000-0005-0000-0000-00005F000000}"/>
    <cellStyle name="20% - Ênfase2 13 2" xfId="813" xr:uid="{00000000-0005-0000-0000-000060000000}"/>
    <cellStyle name="20% - Ênfase2 14" xfId="228" xr:uid="{00000000-0005-0000-0000-000061000000}"/>
    <cellStyle name="20% - Ênfase2 14 2" xfId="827" xr:uid="{00000000-0005-0000-0000-000062000000}"/>
    <cellStyle name="20% - Ênfase2 15" xfId="242" xr:uid="{00000000-0005-0000-0000-000063000000}"/>
    <cellStyle name="20% - Ênfase2 15 2" xfId="841" xr:uid="{00000000-0005-0000-0000-000064000000}"/>
    <cellStyle name="20% - Ênfase2 16" xfId="256" xr:uid="{00000000-0005-0000-0000-000065000000}"/>
    <cellStyle name="20% - Ênfase2 16 2" xfId="855" xr:uid="{00000000-0005-0000-0000-000066000000}"/>
    <cellStyle name="20% - Ênfase2 17" xfId="270" xr:uid="{00000000-0005-0000-0000-000067000000}"/>
    <cellStyle name="20% - Ênfase2 17 2" xfId="869" xr:uid="{00000000-0005-0000-0000-000068000000}"/>
    <cellStyle name="20% - Ênfase2 18" xfId="284" xr:uid="{00000000-0005-0000-0000-000069000000}"/>
    <cellStyle name="20% - Ênfase2 18 2" xfId="883" xr:uid="{00000000-0005-0000-0000-00006A000000}"/>
    <cellStyle name="20% - Ênfase2 19" xfId="298" xr:uid="{00000000-0005-0000-0000-00006B000000}"/>
    <cellStyle name="20% - Ênfase2 19 2" xfId="897" xr:uid="{00000000-0005-0000-0000-00006C000000}"/>
    <cellStyle name="20% - Ênfase2 2" xfId="60" xr:uid="{00000000-0005-0000-0000-00006D000000}"/>
    <cellStyle name="20% - Ênfase2 2 2" xfId="673" xr:uid="{00000000-0005-0000-0000-00006E000000}"/>
    <cellStyle name="20% - Ênfase2 20" xfId="312" xr:uid="{00000000-0005-0000-0000-00006F000000}"/>
    <cellStyle name="20% - Ênfase2 20 2" xfId="911" xr:uid="{00000000-0005-0000-0000-000070000000}"/>
    <cellStyle name="20% - Ênfase2 21" xfId="326" xr:uid="{00000000-0005-0000-0000-000071000000}"/>
    <cellStyle name="20% - Ênfase2 21 2" xfId="925" xr:uid="{00000000-0005-0000-0000-000072000000}"/>
    <cellStyle name="20% - Ênfase2 22" xfId="340" xr:uid="{00000000-0005-0000-0000-000073000000}"/>
    <cellStyle name="20% - Ênfase2 22 2" xfId="939" xr:uid="{00000000-0005-0000-0000-000074000000}"/>
    <cellStyle name="20% - Ênfase2 23" xfId="354" xr:uid="{00000000-0005-0000-0000-000075000000}"/>
    <cellStyle name="20% - Ênfase2 23 2" xfId="953" xr:uid="{00000000-0005-0000-0000-000076000000}"/>
    <cellStyle name="20% - Ênfase2 24" xfId="368" xr:uid="{00000000-0005-0000-0000-000077000000}"/>
    <cellStyle name="20% - Ênfase2 24 2" xfId="967" xr:uid="{00000000-0005-0000-0000-000078000000}"/>
    <cellStyle name="20% - Ênfase2 25" xfId="382" xr:uid="{00000000-0005-0000-0000-000079000000}"/>
    <cellStyle name="20% - Ênfase2 25 2" xfId="981" xr:uid="{00000000-0005-0000-0000-00007A000000}"/>
    <cellStyle name="20% - Ênfase2 26" xfId="396" xr:uid="{00000000-0005-0000-0000-00007B000000}"/>
    <cellStyle name="20% - Ênfase2 26 2" xfId="995" xr:uid="{00000000-0005-0000-0000-00007C000000}"/>
    <cellStyle name="20% - Ênfase2 27" xfId="410" xr:uid="{00000000-0005-0000-0000-00007D000000}"/>
    <cellStyle name="20% - Ênfase2 27 2" xfId="1009" xr:uid="{00000000-0005-0000-0000-00007E000000}"/>
    <cellStyle name="20% - Ênfase2 28" xfId="424" xr:uid="{00000000-0005-0000-0000-00007F000000}"/>
    <cellStyle name="20% - Ênfase2 28 2" xfId="1023" xr:uid="{00000000-0005-0000-0000-000080000000}"/>
    <cellStyle name="20% - Ênfase2 29" xfId="438" xr:uid="{00000000-0005-0000-0000-000081000000}"/>
    <cellStyle name="20% - Ênfase2 29 2" xfId="1037" xr:uid="{00000000-0005-0000-0000-000082000000}"/>
    <cellStyle name="20% - Ênfase2 3" xfId="74" xr:uid="{00000000-0005-0000-0000-000083000000}"/>
    <cellStyle name="20% - Ênfase2 3 2" xfId="687" xr:uid="{00000000-0005-0000-0000-000084000000}"/>
    <cellStyle name="20% - Ênfase2 30" xfId="452" xr:uid="{00000000-0005-0000-0000-000085000000}"/>
    <cellStyle name="20% - Ênfase2 30 2" xfId="1051" xr:uid="{00000000-0005-0000-0000-000086000000}"/>
    <cellStyle name="20% - Ênfase2 31" xfId="466" xr:uid="{00000000-0005-0000-0000-000087000000}"/>
    <cellStyle name="20% - Ênfase2 31 2" xfId="1065" xr:uid="{00000000-0005-0000-0000-000088000000}"/>
    <cellStyle name="20% - Ênfase2 32" xfId="480" xr:uid="{00000000-0005-0000-0000-000089000000}"/>
    <cellStyle name="20% - Ênfase2 32 2" xfId="1079" xr:uid="{00000000-0005-0000-0000-00008A000000}"/>
    <cellStyle name="20% - Ênfase2 33" xfId="494" xr:uid="{00000000-0005-0000-0000-00008B000000}"/>
    <cellStyle name="20% - Ênfase2 33 2" xfId="1093" xr:uid="{00000000-0005-0000-0000-00008C000000}"/>
    <cellStyle name="20% - Ênfase2 34" xfId="508" xr:uid="{00000000-0005-0000-0000-00008D000000}"/>
    <cellStyle name="20% - Ênfase2 34 2" xfId="1107" xr:uid="{00000000-0005-0000-0000-00008E000000}"/>
    <cellStyle name="20% - Ênfase2 35" xfId="522" xr:uid="{00000000-0005-0000-0000-00008F000000}"/>
    <cellStyle name="20% - Ênfase2 35 2" xfId="1121" xr:uid="{00000000-0005-0000-0000-000090000000}"/>
    <cellStyle name="20% - Ênfase2 36" xfId="536" xr:uid="{00000000-0005-0000-0000-000091000000}"/>
    <cellStyle name="20% - Ênfase2 36 2" xfId="1135" xr:uid="{00000000-0005-0000-0000-000092000000}"/>
    <cellStyle name="20% - Ênfase2 37" xfId="550" xr:uid="{00000000-0005-0000-0000-000093000000}"/>
    <cellStyle name="20% - Ênfase2 37 2" xfId="1149" xr:uid="{00000000-0005-0000-0000-000094000000}"/>
    <cellStyle name="20% - Ênfase2 38" xfId="564" xr:uid="{00000000-0005-0000-0000-000095000000}"/>
    <cellStyle name="20% - Ênfase2 38 2" xfId="1163" xr:uid="{00000000-0005-0000-0000-000096000000}"/>
    <cellStyle name="20% - Ênfase2 39" xfId="578" xr:uid="{00000000-0005-0000-0000-000097000000}"/>
    <cellStyle name="20% - Ênfase2 39 2" xfId="1177" xr:uid="{00000000-0005-0000-0000-000098000000}"/>
    <cellStyle name="20% - Ênfase2 4" xfId="88" xr:uid="{00000000-0005-0000-0000-000099000000}"/>
    <cellStyle name="20% - Ênfase2 4 2" xfId="701" xr:uid="{00000000-0005-0000-0000-00009A000000}"/>
    <cellStyle name="20% - Ênfase2 40" xfId="592" xr:uid="{00000000-0005-0000-0000-00009B000000}"/>
    <cellStyle name="20% - Ênfase2 40 2" xfId="1191" xr:uid="{00000000-0005-0000-0000-00009C000000}"/>
    <cellStyle name="20% - Ênfase2 41" xfId="606" xr:uid="{00000000-0005-0000-0000-00009D000000}"/>
    <cellStyle name="20% - Ênfase2 41 2" xfId="1205" xr:uid="{00000000-0005-0000-0000-00009E000000}"/>
    <cellStyle name="20% - Ênfase2 42" xfId="620" xr:uid="{00000000-0005-0000-0000-00009F000000}"/>
    <cellStyle name="20% - Ênfase2 42 2" xfId="1219" xr:uid="{00000000-0005-0000-0000-0000A0000000}"/>
    <cellStyle name="20% - Ênfase2 43" xfId="634" xr:uid="{00000000-0005-0000-0000-0000A1000000}"/>
    <cellStyle name="20% - Ênfase2 43 2" xfId="1233" xr:uid="{00000000-0005-0000-0000-0000A2000000}"/>
    <cellStyle name="20% - Ênfase2 44" xfId="648" xr:uid="{00000000-0005-0000-0000-0000A3000000}"/>
    <cellStyle name="20% - Ênfase2 45" xfId="1247" xr:uid="{00000000-0005-0000-0000-0000A4000000}"/>
    <cellStyle name="20% - Ênfase2 46" xfId="1261" xr:uid="{00000000-0005-0000-0000-0000A5000000}"/>
    <cellStyle name="20% - Ênfase2 47" xfId="1275" xr:uid="{00000000-0005-0000-0000-0000A6000000}"/>
    <cellStyle name="20% - Ênfase2 5" xfId="102" xr:uid="{00000000-0005-0000-0000-0000A7000000}"/>
    <cellStyle name="20% - Ênfase2 5 2" xfId="715" xr:uid="{00000000-0005-0000-0000-0000A8000000}"/>
    <cellStyle name="20% - Ênfase2 6" xfId="116" xr:uid="{00000000-0005-0000-0000-0000A9000000}"/>
    <cellStyle name="20% - Ênfase2 6 2" xfId="729" xr:uid="{00000000-0005-0000-0000-0000AA000000}"/>
    <cellStyle name="20% - Ênfase2 7" xfId="130" xr:uid="{00000000-0005-0000-0000-0000AB000000}"/>
    <cellStyle name="20% - Ênfase2 7 2" xfId="743" xr:uid="{00000000-0005-0000-0000-0000AC000000}"/>
    <cellStyle name="20% - Ênfase2 8" xfId="144" xr:uid="{00000000-0005-0000-0000-0000AD000000}"/>
    <cellStyle name="20% - Ênfase2 8 2" xfId="757" xr:uid="{00000000-0005-0000-0000-0000AE000000}"/>
    <cellStyle name="20% - Ênfase2 9" xfId="158" xr:uid="{00000000-0005-0000-0000-0000AF000000}"/>
    <cellStyle name="20% - Ênfase3" xfId="27" builtinId="38" customBuiltin="1"/>
    <cellStyle name="20% - Ênfase3 10" xfId="174" xr:uid="{00000000-0005-0000-0000-0000B1000000}"/>
    <cellStyle name="20% - Ênfase3 10 2" xfId="773" xr:uid="{00000000-0005-0000-0000-0000B2000000}"/>
    <cellStyle name="20% - Ênfase3 11" xfId="188" xr:uid="{00000000-0005-0000-0000-0000B3000000}"/>
    <cellStyle name="20% - Ênfase3 11 2" xfId="787" xr:uid="{00000000-0005-0000-0000-0000B4000000}"/>
    <cellStyle name="20% - Ênfase3 12" xfId="202" xr:uid="{00000000-0005-0000-0000-0000B5000000}"/>
    <cellStyle name="20% - Ênfase3 12 2" xfId="801" xr:uid="{00000000-0005-0000-0000-0000B6000000}"/>
    <cellStyle name="20% - Ênfase3 13" xfId="216" xr:uid="{00000000-0005-0000-0000-0000B7000000}"/>
    <cellStyle name="20% - Ênfase3 13 2" xfId="815" xr:uid="{00000000-0005-0000-0000-0000B8000000}"/>
    <cellStyle name="20% - Ênfase3 14" xfId="230" xr:uid="{00000000-0005-0000-0000-0000B9000000}"/>
    <cellStyle name="20% - Ênfase3 14 2" xfId="829" xr:uid="{00000000-0005-0000-0000-0000BA000000}"/>
    <cellStyle name="20% - Ênfase3 15" xfId="244" xr:uid="{00000000-0005-0000-0000-0000BB000000}"/>
    <cellStyle name="20% - Ênfase3 15 2" xfId="843" xr:uid="{00000000-0005-0000-0000-0000BC000000}"/>
    <cellStyle name="20% - Ênfase3 16" xfId="258" xr:uid="{00000000-0005-0000-0000-0000BD000000}"/>
    <cellStyle name="20% - Ênfase3 16 2" xfId="857" xr:uid="{00000000-0005-0000-0000-0000BE000000}"/>
    <cellStyle name="20% - Ênfase3 17" xfId="272" xr:uid="{00000000-0005-0000-0000-0000BF000000}"/>
    <cellStyle name="20% - Ênfase3 17 2" xfId="871" xr:uid="{00000000-0005-0000-0000-0000C0000000}"/>
    <cellStyle name="20% - Ênfase3 18" xfId="286" xr:uid="{00000000-0005-0000-0000-0000C1000000}"/>
    <cellStyle name="20% - Ênfase3 18 2" xfId="885" xr:uid="{00000000-0005-0000-0000-0000C2000000}"/>
    <cellStyle name="20% - Ênfase3 19" xfId="300" xr:uid="{00000000-0005-0000-0000-0000C3000000}"/>
    <cellStyle name="20% - Ênfase3 19 2" xfId="899" xr:uid="{00000000-0005-0000-0000-0000C4000000}"/>
    <cellStyle name="20% - Ênfase3 2" xfId="62" xr:uid="{00000000-0005-0000-0000-0000C5000000}"/>
    <cellStyle name="20% - Ênfase3 2 2" xfId="675" xr:uid="{00000000-0005-0000-0000-0000C6000000}"/>
    <cellStyle name="20% - Ênfase3 20" xfId="314" xr:uid="{00000000-0005-0000-0000-0000C7000000}"/>
    <cellStyle name="20% - Ênfase3 20 2" xfId="913" xr:uid="{00000000-0005-0000-0000-0000C8000000}"/>
    <cellStyle name="20% - Ênfase3 21" xfId="328" xr:uid="{00000000-0005-0000-0000-0000C9000000}"/>
    <cellStyle name="20% - Ênfase3 21 2" xfId="927" xr:uid="{00000000-0005-0000-0000-0000CA000000}"/>
    <cellStyle name="20% - Ênfase3 22" xfId="342" xr:uid="{00000000-0005-0000-0000-0000CB000000}"/>
    <cellStyle name="20% - Ênfase3 22 2" xfId="941" xr:uid="{00000000-0005-0000-0000-0000CC000000}"/>
    <cellStyle name="20% - Ênfase3 23" xfId="356" xr:uid="{00000000-0005-0000-0000-0000CD000000}"/>
    <cellStyle name="20% - Ênfase3 23 2" xfId="955" xr:uid="{00000000-0005-0000-0000-0000CE000000}"/>
    <cellStyle name="20% - Ênfase3 24" xfId="370" xr:uid="{00000000-0005-0000-0000-0000CF000000}"/>
    <cellStyle name="20% - Ênfase3 24 2" xfId="969" xr:uid="{00000000-0005-0000-0000-0000D0000000}"/>
    <cellStyle name="20% - Ênfase3 25" xfId="384" xr:uid="{00000000-0005-0000-0000-0000D1000000}"/>
    <cellStyle name="20% - Ênfase3 25 2" xfId="983" xr:uid="{00000000-0005-0000-0000-0000D2000000}"/>
    <cellStyle name="20% - Ênfase3 26" xfId="398" xr:uid="{00000000-0005-0000-0000-0000D3000000}"/>
    <cellStyle name="20% - Ênfase3 26 2" xfId="997" xr:uid="{00000000-0005-0000-0000-0000D4000000}"/>
    <cellStyle name="20% - Ênfase3 27" xfId="412" xr:uid="{00000000-0005-0000-0000-0000D5000000}"/>
    <cellStyle name="20% - Ênfase3 27 2" xfId="1011" xr:uid="{00000000-0005-0000-0000-0000D6000000}"/>
    <cellStyle name="20% - Ênfase3 28" xfId="426" xr:uid="{00000000-0005-0000-0000-0000D7000000}"/>
    <cellStyle name="20% - Ênfase3 28 2" xfId="1025" xr:uid="{00000000-0005-0000-0000-0000D8000000}"/>
    <cellStyle name="20% - Ênfase3 29" xfId="440" xr:uid="{00000000-0005-0000-0000-0000D9000000}"/>
    <cellStyle name="20% - Ênfase3 29 2" xfId="1039" xr:uid="{00000000-0005-0000-0000-0000DA000000}"/>
    <cellStyle name="20% - Ênfase3 3" xfId="76" xr:uid="{00000000-0005-0000-0000-0000DB000000}"/>
    <cellStyle name="20% - Ênfase3 3 2" xfId="689" xr:uid="{00000000-0005-0000-0000-0000DC000000}"/>
    <cellStyle name="20% - Ênfase3 30" xfId="454" xr:uid="{00000000-0005-0000-0000-0000DD000000}"/>
    <cellStyle name="20% - Ênfase3 30 2" xfId="1053" xr:uid="{00000000-0005-0000-0000-0000DE000000}"/>
    <cellStyle name="20% - Ênfase3 31" xfId="468" xr:uid="{00000000-0005-0000-0000-0000DF000000}"/>
    <cellStyle name="20% - Ênfase3 31 2" xfId="1067" xr:uid="{00000000-0005-0000-0000-0000E0000000}"/>
    <cellStyle name="20% - Ênfase3 32" xfId="482" xr:uid="{00000000-0005-0000-0000-0000E1000000}"/>
    <cellStyle name="20% - Ênfase3 32 2" xfId="1081" xr:uid="{00000000-0005-0000-0000-0000E2000000}"/>
    <cellStyle name="20% - Ênfase3 33" xfId="496" xr:uid="{00000000-0005-0000-0000-0000E3000000}"/>
    <cellStyle name="20% - Ênfase3 33 2" xfId="1095" xr:uid="{00000000-0005-0000-0000-0000E4000000}"/>
    <cellStyle name="20% - Ênfase3 34" xfId="510" xr:uid="{00000000-0005-0000-0000-0000E5000000}"/>
    <cellStyle name="20% - Ênfase3 34 2" xfId="1109" xr:uid="{00000000-0005-0000-0000-0000E6000000}"/>
    <cellStyle name="20% - Ênfase3 35" xfId="524" xr:uid="{00000000-0005-0000-0000-0000E7000000}"/>
    <cellStyle name="20% - Ênfase3 35 2" xfId="1123" xr:uid="{00000000-0005-0000-0000-0000E8000000}"/>
    <cellStyle name="20% - Ênfase3 36" xfId="538" xr:uid="{00000000-0005-0000-0000-0000E9000000}"/>
    <cellStyle name="20% - Ênfase3 36 2" xfId="1137" xr:uid="{00000000-0005-0000-0000-0000EA000000}"/>
    <cellStyle name="20% - Ênfase3 37" xfId="552" xr:uid="{00000000-0005-0000-0000-0000EB000000}"/>
    <cellStyle name="20% - Ênfase3 37 2" xfId="1151" xr:uid="{00000000-0005-0000-0000-0000EC000000}"/>
    <cellStyle name="20% - Ênfase3 38" xfId="566" xr:uid="{00000000-0005-0000-0000-0000ED000000}"/>
    <cellStyle name="20% - Ênfase3 38 2" xfId="1165" xr:uid="{00000000-0005-0000-0000-0000EE000000}"/>
    <cellStyle name="20% - Ênfase3 39" xfId="580" xr:uid="{00000000-0005-0000-0000-0000EF000000}"/>
    <cellStyle name="20% - Ênfase3 39 2" xfId="1179" xr:uid="{00000000-0005-0000-0000-0000F0000000}"/>
    <cellStyle name="20% - Ênfase3 4" xfId="90" xr:uid="{00000000-0005-0000-0000-0000F1000000}"/>
    <cellStyle name="20% - Ênfase3 4 2" xfId="703" xr:uid="{00000000-0005-0000-0000-0000F2000000}"/>
    <cellStyle name="20% - Ênfase3 40" xfId="594" xr:uid="{00000000-0005-0000-0000-0000F3000000}"/>
    <cellStyle name="20% - Ênfase3 40 2" xfId="1193" xr:uid="{00000000-0005-0000-0000-0000F4000000}"/>
    <cellStyle name="20% - Ênfase3 41" xfId="608" xr:uid="{00000000-0005-0000-0000-0000F5000000}"/>
    <cellStyle name="20% - Ênfase3 41 2" xfId="1207" xr:uid="{00000000-0005-0000-0000-0000F6000000}"/>
    <cellStyle name="20% - Ênfase3 42" xfId="622" xr:uid="{00000000-0005-0000-0000-0000F7000000}"/>
    <cellStyle name="20% - Ênfase3 42 2" xfId="1221" xr:uid="{00000000-0005-0000-0000-0000F8000000}"/>
    <cellStyle name="20% - Ênfase3 43" xfId="636" xr:uid="{00000000-0005-0000-0000-0000F9000000}"/>
    <cellStyle name="20% - Ênfase3 43 2" xfId="1235" xr:uid="{00000000-0005-0000-0000-0000FA000000}"/>
    <cellStyle name="20% - Ênfase3 44" xfId="650" xr:uid="{00000000-0005-0000-0000-0000FB000000}"/>
    <cellStyle name="20% - Ênfase3 45" xfId="1249" xr:uid="{00000000-0005-0000-0000-0000FC000000}"/>
    <cellStyle name="20% - Ênfase3 46" xfId="1263" xr:uid="{00000000-0005-0000-0000-0000FD000000}"/>
    <cellStyle name="20% - Ênfase3 47" xfId="1277" xr:uid="{00000000-0005-0000-0000-0000FE000000}"/>
    <cellStyle name="20% - Ênfase3 5" xfId="104" xr:uid="{00000000-0005-0000-0000-0000FF000000}"/>
    <cellStyle name="20% - Ênfase3 5 2" xfId="717" xr:uid="{00000000-0005-0000-0000-000000010000}"/>
    <cellStyle name="20% - Ênfase3 6" xfId="118" xr:uid="{00000000-0005-0000-0000-000001010000}"/>
    <cellStyle name="20% - Ênfase3 6 2" xfId="731" xr:uid="{00000000-0005-0000-0000-000002010000}"/>
    <cellStyle name="20% - Ênfase3 7" xfId="132" xr:uid="{00000000-0005-0000-0000-000003010000}"/>
    <cellStyle name="20% - Ênfase3 7 2" xfId="745" xr:uid="{00000000-0005-0000-0000-000004010000}"/>
    <cellStyle name="20% - Ênfase3 8" xfId="146" xr:uid="{00000000-0005-0000-0000-000005010000}"/>
    <cellStyle name="20% - Ênfase3 8 2" xfId="759" xr:uid="{00000000-0005-0000-0000-000006010000}"/>
    <cellStyle name="20% - Ênfase3 9" xfId="160" xr:uid="{00000000-0005-0000-0000-000007010000}"/>
    <cellStyle name="20% - Ênfase4" xfId="31" builtinId="42" customBuiltin="1"/>
    <cellStyle name="20% - Ênfase4 10" xfId="176" xr:uid="{00000000-0005-0000-0000-000009010000}"/>
    <cellStyle name="20% - Ênfase4 10 2" xfId="775" xr:uid="{00000000-0005-0000-0000-00000A010000}"/>
    <cellStyle name="20% - Ênfase4 11" xfId="190" xr:uid="{00000000-0005-0000-0000-00000B010000}"/>
    <cellStyle name="20% - Ênfase4 11 2" xfId="789" xr:uid="{00000000-0005-0000-0000-00000C010000}"/>
    <cellStyle name="20% - Ênfase4 12" xfId="204" xr:uid="{00000000-0005-0000-0000-00000D010000}"/>
    <cellStyle name="20% - Ênfase4 12 2" xfId="803" xr:uid="{00000000-0005-0000-0000-00000E010000}"/>
    <cellStyle name="20% - Ênfase4 13" xfId="218" xr:uid="{00000000-0005-0000-0000-00000F010000}"/>
    <cellStyle name="20% - Ênfase4 13 2" xfId="817" xr:uid="{00000000-0005-0000-0000-000010010000}"/>
    <cellStyle name="20% - Ênfase4 14" xfId="232" xr:uid="{00000000-0005-0000-0000-000011010000}"/>
    <cellStyle name="20% - Ênfase4 14 2" xfId="831" xr:uid="{00000000-0005-0000-0000-000012010000}"/>
    <cellStyle name="20% - Ênfase4 15" xfId="246" xr:uid="{00000000-0005-0000-0000-000013010000}"/>
    <cellStyle name="20% - Ênfase4 15 2" xfId="845" xr:uid="{00000000-0005-0000-0000-000014010000}"/>
    <cellStyle name="20% - Ênfase4 16" xfId="260" xr:uid="{00000000-0005-0000-0000-000015010000}"/>
    <cellStyle name="20% - Ênfase4 16 2" xfId="859" xr:uid="{00000000-0005-0000-0000-000016010000}"/>
    <cellStyle name="20% - Ênfase4 17" xfId="274" xr:uid="{00000000-0005-0000-0000-000017010000}"/>
    <cellStyle name="20% - Ênfase4 17 2" xfId="873" xr:uid="{00000000-0005-0000-0000-000018010000}"/>
    <cellStyle name="20% - Ênfase4 18" xfId="288" xr:uid="{00000000-0005-0000-0000-000019010000}"/>
    <cellStyle name="20% - Ênfase4 18 2" xfId="887" xr:uid="{00000000-0005-0000-0000-00001A010000}"/>
    <cellStyle name="20% - Ênfase4 19" xfId="302" xr:uid="{00000000-0005-0000-0000-00001B010000}"/>
    <cellStyle name="20% - Ênfase4 19 2" xfId="901" xr:uid="{00000000-0005-0000-0000-00001C010000}"/>
    <cellStyle name="20% - Ênfase4 2" xfId="64" xr:uid="{00000000-0005-0000-0000-00001D010000}"/>
    <cellStyle name="20% - Ênfase4 2 2" xfId="677" xr:uid="{00000000-0005-0000-0000-00001E010000}"/>
    <cellStyle name="20% - Ênfase4 20" xfId="316" xr:uid="{00000000-0005-0000-0000-00001F010000}"/>
    <cellStyle name="20% - Ênfase4 20 2" xfId="915" xr:uid="{00000000-0005-0000-0000-000020010000}"/>
    <cellStyle name="20% - Ênfase4 21" xfId="330" xr:uid="{00000000-0005-0000-0000-000021010000}"/>
    <cellStyle name="20% - Ênfase4 21 2" xfId="929" xr:uid="{00000000-0005-0000-0000-000022010000}"/>
    <cellStyle name="20% - Ênfase4 22" xfId="344" xr:uid="{00000000-0005-0000-0000-000023010000}"/>
    <cellStyle name="20% - Ênfase4 22 2" xfId="943" xr:uid="{00000000-0005-0000-0000-000024010000}"/>
    <cellStyle name="20% - Ênfase4 23" xfId="358" xr:uid="{00000000-0005-0000-0000-000025010000}"/>
    <cellStyle name="20% - Ênfase4 23 2" xfId="957" xr:uid="{00000000-0005-0000-0000-000026010000}"/>
    <cellStyle name="20% - Ênfase4 24" xfId="372" xr:uid="{00000000-0005-0000-0000-000027010000}"/>
    <cellStyle name="20% - Ênfase4 24 2" xfId="971" xr:uid="{00000000-0005-0000-0000-000028010000}"/>
    <cellStyle name="20% - Ênfase4 25" xfId="386" xr:uid="{00000000-0005-0000-0000-000029010000}"/>
    <cellStyle name="20% - Ênfase4 25 2" xfId="985" xr:uid="{00000000-0005-0000-0000-00002A010000}"/>
    <cellStyle name="20% - Ênfase4 26" xfId="400" xr:uid="{00000000-0005-0000-0000-00002B010000}"/>
    <cellStyle name="20% - Ênfase4 26 2" xfId="999" xr:uid="{00000000-0005-0000-0000-00002C010000}"/>
    <cellStyle name="20% - Ênfase4 27" xfId="414" xr:uid="{00000000-0005-0000-0000-00002D010000}"/>
    <cellStyle name="20% - Ênfase4 27 2" xfId="1013" xr:uid="{00000000-0005-0000-0000-00002E010000}"/>
    <cellStyle name="20% - Ênfase4 28" xfId="428" xr:uid="{00000000-0005-0000-0000-00002F010000}"/>
    <cellStyle name="20% - Ênfase4 28 2" xfId="1027" xr:uid="{00000000-0005-0000-0000-000030010000}"/>
    <cellStyle name="20% - Ênfase4 29" xfId="442" xr:uid="{00000000-0005-0000-0000-000031010000}"/>
    <cellStyle name="20% - Ênfase4 29 2" xfId="1041" xr:uid="{00000000-0005-0000-0000-000032010000}"/>
    <cellStyle name="20% - Ênfase4 3" xfId="78" xr:uid="{00000000-0005-0000-0000-000033010000}"/>
    <cellStyle name="20% - Ênfase4 3 2" xfId="691" xr:uid="{00000000-0005-0000-0000-000034010000}"/>
    <cellStyle name="20% - Ênfase4 30" xfId="456" xr:uid="{00000000-0005-0000-0000-000035010000}"/>
    <cellStyle name="20% - Ênfase4 30 2" xfId="1055" xr:uid="{00000000-0005-0000-0000-000036010000}"/>
    <cellStyle name="20% - Ênfase4 31" xfId="470" xr:uid="{00000000-0005-0000-0000-000037010000}"/>
    <cellStyle name="20% - Ênfase4 31 2" xfId="1069" xr:uid="{00000000-0005-0000-0000-000038010000}"/>
    <cellStyle name="20% - Ênfase4 32" xfId="484" xr:uid="{00000000-0005-0000-0000-000039010000}"/>
    <cellStyle name="20% - Ênfase4 32 2" xfId="1083" xr:uid="{00000000-0005-0000-0000-00003A010000}"/>
    <cellStyle name="20% - Ênfase4 33" xfId="498" xr:uid="{00000000-0005-0000-0000-00003B010000}"/>
    <cellStyle name="20% - Ênfase4 33 2" xfId="1097" xr:uid="{00000000-0005-0000-0000-00003C010000}"/>
    <cellStyle name="20% - Ênfase4 34" xfId="512" xr:uid="{00000000-0005-0000-0000-00003D010000}"/>
    <cellStyle name="20% - Ênfase4 34 2" xfId="1111" xr:uid="{00000000-0005-0000-0000-00003E010000}"/>
    <cellStyle name="20% - Ênfase4 35" xfId="526" xr:uid="{00000000-0005-0000-0000-00003F010000}"/>
    <cellStyle name="20% - Ênfase4 35 2" xfId="1125" xr:uid="{00000000-0005-0000-0000-000040010000}"/>
    <cellStyle name="20% - Ênfase4 36" xfId="540" xr:uid="{00000000-0005-0000-0000-000041010000}"/>
    <cellStyle name="20% - Ênfase4 36 2" xfId="1139" xr:uid="{00000000-0005-0000-0000-000042010000}"/>
    <cellStyle name="20% - Ênfase4 37" xfId="554" xr:uid="{00000000-0005-0000-0000-000043010000}"/>
    <cellStyle name="20% - Ênfase4 37 2" xfId="1153" xr:uid="{00000000-0005-0000-0000-000044010000}"/>
    <cellStyle name="20% - Ênfase4 38" xfId="568" xr:uid="{00000000-0005-0000-0000-000045010000}"/>
    <cellStyle name="20% - Ênfase4 38 2" xfId="1167" xr:uid="{00000000-0005-0000-0000-000046010000}"/>
    <cellStyle name="20% - Ênfase4 39" xfId="582" xr:uid="{00000000-0005-0000-0000-000047010000}"/>
    <cellStyle name="20% - Ênfase4 39 2" xfId="1181" xr:uid="{00000000-0005-0000-0000-000048010000}"/>
    <cellStyle name="20% - Ênfase4 4" xfId="92" xr:uid="{00000000-0005-0000-0000-000049010000}"/>
    <cellStyle name="20% - Ênfase4 4 2" xfId="705" xr:uid="{00000000-0005-0000-0000-00004A010000}"/>
    <cellStyle name="20% - Ênfase4 40" xfId="596" xr:uid="{00000000-0005-0000-0000-00004B010000}"/>
    <cellStyle name="20% - Ênfase4 40 2" xfId="1195" xr:uid="{00000000-0005-0000-0000-00004C010000}"/>
    <cellStyle name="20% - Ênfase4 41" xfId="610" xr:uid="{00000000-0005-0000-0000-00004D010000}"/>
    <cellStyle name="20% - Ênfase4 41 2" xfId="1209" xr:uid="{00000000-0005-0000-0000-00004E010000}"/>
    <cellStyle name="20% - Ênfase4 42" xfId="624" xr:uid="{00000000-0005-0000-0000-00004F010000}"/>
    <cellStyle name="20% - Ênfase4 42 2" xfId="1223" xr:uid="{00000000-0005-0000-0000-000050010000}"/>
    <cellStyle name="20% - Ênfase4 43" xfId="638" xr:uid="{00000000-0005-0000-0000-000051010000}"/>
    <cellStyle name="20% - Ênfase4 43 2" xfId="1237" xr:uid="{00000000-0005-0000-0000-000052010000}"/>
    <cellStyle name="20% - Ênfase4 44" xfId="652" xr:uid="{00000000-0005-0000-0000-000053010000}"/>
    <cellStyle name="20% - Ênfase4 45" xfId="1251" xr:uid="{00000000-0005-0000-0000-000054010000}"/>
    <cellStyle name="20% - Ênfase4 46" xfId="1265" xr:uid="{00000000-0005-0000-0000-000055010000}"/>
    <cellStyle name="20% - Ênfase4 47" xfId="1279" xr:uid="{00000000-0005-0000-0000-000056010000}"/>
    <cellStyle name="20% - Ênfase4 5" xfId="106" xr:uid="{00000000-0005-0000-0000-000057010000}"/>
    <cellStyle name="20% - Ênfase4 5 2" xfId="719" xr:uid="{00000000-0005-0000-0000-000058010000}"/>
    <cellStyle name="20% - Ênfase4 6" xfId="120" xr:uid="{00000000-0005-0000-0000-000059010000}"/>
    <cellStyle name="20% - Ênfase4 6 2" xfId="733" xr:uid="{00000000-0005-0000-0000-00005A010000}"/>
    <cellStyle name="20% - Ênfase4 7" xfId="134" xr:uid="{00000000-0005-0000-0000-00005B010000}"/>
    <cellStyle name="20% - Ênfase4 7 2" xfId="747" xr:uid="{00000000-0005-0000-0000-00005C010000}"/>
    <cellStyle name="20% - Ênfase4 8" xfId="148" xr:uid="{00000000-0005-0000-0000-00005D010000}"/>
    <cellStyle name="20% - Ênfase4 8 2" xfId="761" xr:uid="{00000000-0005-0000-0000-00005E010000}"/>
    <cellStyle name="20% - Ênfase4 9" xfId="162" xr:uid="{00000000-0005-0000-0000-00005F010000}"/>
    <cellStyle name="20% - Ênfase5" xfId="35" builtinId="46" customBuiltin="1"/>
    <cellStyle name="20% - Ênfase5 10" xfId="178" xr:uid="{00000000-0005-0000-0000-000061010000}"/>
    <cellStyle name="20% - Ênfase5 10 2" xfId="777" xr:uid="{00000000-0005-0000-0000-000062010000}"/>
    <cellStyle name="20% - Ênfase5 11" xfId="192" xr:uid="{00000000-0005-0000-0000-000063010000}"/>
    <cellStyle name="20% - Ênfase5 11 2" xfId="791" xr:uid="{00000000-0005-0000-0000-000064010000}"/>
    <cellStyle name="20% - Ênfase5 12" xfId="206" xr:uid="{00000000-0005-0000-0000-000065010000}"/>
    <cellStyle name="20% - Ênfase5 12 2" xfId="805" xr:uid="{00000000-0005-0000-0000-000066010000}"/>
    <cellStyle name="20% - Ênfase5 13" xfId="220" xr:uid="{00000000-0005-0000-0000-000067010000}"/>
    <cellStyle name="20% - Ênfase5 13 2" xfId="819" xr:uid="{00000000-0005-0000-0000-000068010000}"/>
    <cellStyle name="20% - Ênfase5 14" xfId="234" xr:uid="{00000000-0005-0000-0000-000069010000}"/>
    <cellStyle name="20% - Ênfase5 14 2" xfId="833" xr:uid="{00000000-0005-0000-0000-00006A010000}"/>
    <cellStyle name="20% - Ênfase5 15" xfId="248" xr:uid="{00000000-0005-0000-0000-00006B010000}"/>
    <cellStyle name="20% - Ênfase5 15 2" xfId="847" xr:uid="{00000000-0005-0000-0000-00006C010000}"/>
    <cellStyle name="20% - Ênfase5 16" xfId="262" xr:uid="{00000000-0005-0000-0000-00006D010000}"/>
    <cellStyle name="20% - Ênfase5 16 2" xfId="861" xr:uid="{00000000-0005-0000-0000-00006E010000}"/>
    <cellStyle name="20% - Ênfase5 17" xfId="276" xr:uid="{00000000-0005-0000-0000-00006F010000}"/>
    <cellStyle name="20% - Ênfase5 17 2" xfId="875" xr:uid="{00000000-0005-0000-0000-000070010000}"/>
    <cellStyle name="20% - Ênfase5 18" xfId="290" xr:uid="{00000000-0005-0000-0000-000071010000}"/>
    <cellStyle name="20% - Ênfase5 18 2" xfId="889" xr:uid="{00000000-0005-0000-0000-000072010000}"/>
    <cellStyle name="20% - Ênfase5 19" xfId="304" xr:uid="{00000000-0005-0000-0000-000073010000}"/>
    <cellStyle name="20% - Ênfase5 19 2" xfId="903" xr:uid="{00000000-0005-0000-0000-000074010000}"/>
    <cellStyle name="20% - Ênfase5 2" xfId="66" xr:uid="{00000000-0005-0000-0000-000075010000}"/>
    <cellStyle name="20% - Ênfase5 2 2" xfId="679" xr:uid="{00000000-0005-0000-0000-000076010000}"/>
    <cellStyle name="20% - Ênfase5 20" xfId="318" xr:uid="{00000000-0005-0000-0000-000077010000}"/>
    <cellStyle name="20% - Ênfase5 20 2" xfId="917" xr:uid="{00000000-0005-0000-0000-000078010000}"/>
    <cellStyle name="20% - Ênfase5 21" xfId="332" xr:uid="{00000000-0005-0000-0000-000079010000}"/>
    <cellStyle name="20% - Ênfase5 21 2" xfId="931" xr:uid="{00000000-0005-0000-0000-00007A010000}"/>
    <cellStyle name="20% - Ênfase5 22" xfId="346" xr:uid="{00000000-0005-0000-0000-00007B010000}"/>
    <cellStyle name="20% - Ênfase5 22 2" xfId="945" xr:uid="{00000000-0005-0000-0000-00007C010000}"/>
    <cellStyle name="20% - Ênfase5 23" xfId="360" xr:uid="{00000000-0005-0000-0000-00007D010000}"/>
    <cellStyle name="20% - Ênfase5 23 2" xfId="959" xr:uid="{00000000-0005-0000-0000-00007E010000}"/>
    <cellStyle name="20% - Ênfase5 24" xfId="374" xr:uid="{00000000-0005-0000-0000-00007F010000}"/>
    <cellStyle name="20% - Ênfase5 24 2" xfId="973" xr:uid="{00000000-0005-0000-0000-000080010000}"/>
    <cellStyle name="20% - Ênfase5 25" xfId="388" xr:uid="{00000000-0005-0000-0000-000081010000}"/>
    <cellStyle name="20% - Ênfase5 25 2" xfId="987" xr:uid="{00000000-0005-0000-0000-000082010000}"/>
    <cellStyle name="20% - Ênfase5 26" xfId="402" xr:uid="{00000000-0005-0000-0000-000083010000}"/>
    <cellStyle name="20% - Ênfase5 26 2" xfId="1001" xr:uid="{00000000-0005-0000-0000-000084010000}"/>
    <cellStyle name="20% - Ênfase5 27" xfId="416" xr:uid="{00000000-0005-0000-0000-000085010000}"/>
    <cellStyle name="20% - Ênfase5 27 2" xfId="1015" xr:uid="{00000000-0005-0000-0000-000086010000}"/>
    <cellStyle name="20% - Ênfase5 28" xfId="430" xr:uid="{00000000-0005-0000-0000-000087010000}"/>
    <cellStyle name="20% - Ênfase5 28 2" xfId="1029" xr:uid="{00000000-0005-0000-0000-000088010000}"/>
    <cellStyle name="20% - Ênfase5 29" xfId="444" xr:uid="{00000000-0005-0000-0000-000089010000}"/>
    <cellStyle name="20% - Ênfase5 29 2" xfId="1043" xr:uid="{00000000-0005-0000-0000-00008A010000}"/>
    <cellStyle name="20% - Ênfase5 3" xfId="80" xr:uid="{00000000-0005-0000-0000-00008B010000}"/>
    <cellStyle name="20% - Ênfase5 3 2" xfId="693" xr:uid="{00000000-0005-0000-0000-00008C010000}"/>
    <cellStyle name="20% - Ênfase5 30" xfId="458" xr:uid="{00000000-0005-0000-0000-00008D010000}"/>
    <cellStyle name="20% - Ênfase5 30 2" xfId="1057" xr:uid="{00000000-0005-0000-0000-00008E010000}"/>
    <cellStyle name="20% - Ênfase5 31" xfId="472" xr:uid="{00000000-0005-0000-0000-00008F010000}"/>
    <cellStyle name="20% - Ênfase5 31 2" xfId="1071" xr:uid="{00000000-0005-0000-0000-000090010000}"/>
    <cellStyle name="20% - Ênfase5 32" xfId="486" xr:uid="{00000000-0005-0000-0000-000091010000}"/>
    <cellStyle name="20% - Ênfase5 32 2" xfId="1085" xr:uid="{00000000-0005-0000-0000-000092010000}"/>
    <cellStyle name="20% - Ênfase5 33" xfId="500" xr:uid="{00000000-0005-0000-0000-000093010000}"/>
    <cellStyle name="20% - Ênfase5 33 2" xfId="1099" xr:uid="{00000000-0005-0000-0000-000094010000}"/>
    <cellStyle name="20% - Ênfase5 34" xfId="514" xr:uid="{00000000-0005-0000-0000-000095010000}"/>
    <cellStyle name="20% - Ênfase5 34 2" xfId="1113" xr:uid="{00000000-0005-0000-0000-000096010000}"/>
    <cellStyle name="20% - Ênfase5 35" xfId="528" xr:uid="{00000000-0005-0000-0000-000097010000}"/>
    <cellStyle name="20% - Ênfase5 35 2" xfId="1127" xr:uid="{00000000-0005-0000-0000-000098010000}"/>
    <cellStyle name="20% - Ênfase5 36" xfId="542" xr:uid="{00000000-0005-0000-0000-000099010000}"/>
    <cellStyle name="20% - Ênfase5 36 2" xfId="1141" xr:uid="{00000000-0005-0000-0000-00009A010000}"/>
    <cellStyle name="20% - Ênfase5 37" xfId="556" xr:uid="{00000000-0005-0000-0000-00009B010000}"/>
    <cellStyle name="20% - Ênfase5 37 2" xfId="1155" xr:uid="{00000000-0005-0000-0000-00009C010000}"/>
    <cellStyle name="20% - Ênfase5 38" xfId="570" xr:uid="{00000000-0005-0000-0000-00009D010000}"/>
    <cellStyle name="20% - Ênfase5 38 2" xfId="1169" xr:uid="{00000000-0005-0000-0000-00009E010000}"/>
    <cellStyle name="20% - Ênfase5 39" xfId="584" xr:uid="{00000000-0005-0000-0000-00009F010000}"/>
    <cellStyle name="20% - Ênfase5 39 2" xfId="1183" xr:uid="{00000000-0005-0000-0000-0000A0010000}"/>
    <cellStyle name="20% - Ênfase5 4" xfId="94" xr:uid="{00000000-0005-0000-0000-0000A1010000}"/>
    <cellStyle name="20% - Ênfase5 4 2" xfId="707" xr:uid="{00000000-0005-0000-0000-0000A2010000}"/>
    <cellStyle name="20% - Ênfase5 40" xfId="598" xr:uid="{00000000-0005-0000-0000-0000A3010000}"/>
    <cellStyle name="20% - Ênfase5 40 2" xfId="1197" xr:uid="{00000000-0005-0000-0000-0000A4010000}"/>
    <cellStyle name="20% - Ênfase5 41" xfId="612" xr:uid="{00000000-0005-0000-0000-0000A5010000}"/>
    <cellStyle name="20% - Ênfase5 41 2" xfId="1211" xr:uid="{00000000-0005-0000-0000-0000A6010000}"/>
    <cellStyle name="20% - Ênfase5 42" xfId="626" xr:uid="{00000000-0005-0000-0000-0000A7010000}"/>
    <cellStyle name="20% - Ênfase5 42 2" xfId="1225" xr:uid="{00000000-0005-0000-0000-0000A8010000}"/>
    <cellStyle name="20% - Ênfase5 43" xfId="640" xr:uid="{00000000-0005-0000-0000-0000A9010000}"/>
    <cellStyle name="20% - Ênfase5 43 2" xfId="1239" xr:uid="{00000000-0005-0000-0000-0000AA010000}"/>
    <cellStyle name="20% - Ênfase5 44" xfId="654" xr:uid="{00000000-0005-0000-0000-0000AB010000}"/>
    <cellStyle name="20% - Ênfase5 45" xfId="1253" xr:uid="{00000000-0005-0000-0000-0000AC010000}"/>
    <cellStyle name="20% - Ênfase5 46" xfId="1267" xr:uid="{00000000-0005-0000-0000-0000AD010000}"/>
    <cellStyle name="20% - Ênfase5 47" xfId="1281" xr:uid="{00000000-0005-0000-0000-0000AE010000}"/>
    <cellStyle name="20% - Ênfase5 5" xfId="108" xr:uid="{00000000-0005-0000-0000-0000AF010000}"/>
    <cellStyle name="20% - Ênfase5 5 2" xfId="721" xr:uid="{00000000-0005-0000-0000-0000B0010000}"/>
    <cellStyle name="20% - Ênfase5 6" xfId="122" xr:uid="{00000000-0005-0000-0000-0000B1010000}"/>
    <cellStyle name="20% - Ênfase5 6 2" xfId="735" xr:uid="{00000000-0005-0000-0000-0000B2010000}"/>
    <cellStyle name="20% - Ênfase5 7" xfId="136" xr:uid="{00000000-0005-0000-0000-0000B3010000}"/>
    <cellStyle name="20% - Ênfase5 7 2" xfId="749" xr:uid="{00000000-0005-0000-0000-0000B4010000}"/>
    <cellStyle name="20% - Ênfase5 8" xfId="150" xr:uid="{00000000-0005-0000-0000-0000B5010000}"/>
    <cellStyle name="20% - Ênfase5 8 2" xfId="763" xr:uid="{00000000-0005-0000-0000-0000B6010000}"/>
    <cellStyle name="20% - Ênfase5 9" xfId="164" xr:uid="{00000000-0005-0000-0000-0000B7010000}"/>
    <cellStyle name="20% - Ênfase6" xfId="39" builtinId="50" customBuiltin="1"/>
    <cellStyle name="20% - Ênfase6 10" xfId="180" xr:uid="{00000000-0005-0000-0000-0000B9010000}"/>
    <cellStyle name="20% - Ênfase6 10 2" xfId="779" xr:uid="{00000000-0005-0000-0000-0000BA010000}"/>
    <cellStyle name="20% - Ênfase6 11" xfId="194" xr:uid="{00000000-0005-0000-0000-0000BB010000}"/>
    <cellStyle name="20% - Ênfase6 11 2" xfId="793" xr:uid="{00000000-0005-0000-0000-0000BC010000}"/>
    <cellStyle name="20% - Ênfase6 12" xfId="208" xr:uid="{00000000-0005-0000-0000-0000BD010000}"/>
    <cellStyle name="20% - Ênfase6 12 2" xfId="807" xr:uid="{00000000-0005-0000-0000-0000BE010000}"/>
    <cellStyle name="20% - Ênfase6 13" xfId="222" xr:uid="{00000000-0005-0000-0000-0000BF010000}"/>
    <cellStyle name="20% - Ênfase6 13 2" xfId="821" xr:uid="{00000000-0005-0000-0000-0000C0010000}"/>
    <cellStyle name="20% - Ênfase6 14" xfId="236" xr:uid="{00000000-0005-0000-0000-0000C1010000}"/>
    <cellStyle name="20% - Ênfase6 14 2" xfId="835" xr:uid="{00000000-0005-0000-0000-0000C2010000}"/>
    <cellStyle name="20% - Ênfase6 15" xfId="250" xr:uid="{00000000-0005-0000-0000-0000C3010000}"/>
    <cellStyle name="20% - Ênfase6 15 2" xfId="849" xr:uid="{00000000-0005-0000-0000-0000C4010000}"/>
    <cellStyle name="20% - Ênfase6 16" xfId="264" xr:uid="{00000000-0005-0000-0000-0000C5010000}"/>
    <cellStyle name="20% - Ênfase6 16 2" xfId="863" xr:uid="{00000000-0005-0000-0000-0000C6010000}"/>
    <cellStyle name="20% - Ênfase6 17" xfId="278" xr:uid="{00000000-0005-0000-0000-0000C7010000}"/>
    <cellStyle name="20% - Ênfase6 17 2" xfId="877" xr:uid="{00000000-0005-0000-0000-0000C8010000}"/>
    <cellStyle name="20% - Ênfase6 18" xfId="292" xr:uid="{00000000-0005-0000-0000-0000C9010000}"/>
    <cellStyle name="20% - Ênfase6 18 2" xfId="891" xr:uid="{00000000-0005-0000-0000-0000CA010000}"/>
    <cellStyle name="20% - Ênfase6 19" xfId="306" xr:uid="{00000000-0005-0000-0000-0000CB010000}"/>
    <cellStyle name="20% - Ênfase6 19 2" xfId="905" xr:uid="{00000000-0005-0000-0000-0000CC010000}"/>
    <cellStyle name="20% - Ênfase6 2" xfId="68" xr:uid="{00000000-0005-0000-0000-0000CD010000}"/>
    <cellStyle name="20% - Ênfase6 2 2" xfId="681" xr:uid="{00000000-0005-0000-0000-0000CE010000}"/>
    <cellStyle name="20% - Ênfase6 20" xfId="320" xr:uid="{00000000-0005-0000-0000-0000CF010000}"/>
    <cellStyle name="20% - Ênfase6 20 2" xfId="919" xr:uid="{00000000-0005-0000-0000-0000D0010000}"/>
    <cellStyle name="20% - Ênfase6 21" xfId="334" xr:uid="{00000000-0005-0000-0000-0000D1010000}"/>
    <cellStyle name="20% - Ênfase6 21 2" xfId="933" xr:uid="{00000000-0005-0000-0000-0000D2010000}"/>
    <cellStyle name="20% - Ênfase6 22" xfId="348" xr:uid="{00000000-0005-0000-0000-0000D3010000}"/>
    <cellStyle name="20% - Ênfase6 22 2" xfId="947" xr:uid="{00000000-0005-0000-0000-0000D4010000}"/>
    <cellStyle name="20% - Ênfase6 23" xfId="362" xr:uid="{00000000-0005-0000-0000-0000D5010000}"/>
    <cellStyle name="20% - Ênfase6 23 2" xfId="961" xr:uid="{00000000-0005-0000-0000-0000D6010000}"/>
    <cellStyle name="20% - Ênfase6 24" xfId="376" xr:uid="{00000000-0005-0000-0000-0000D7010000}"/>
    <cellStyle name="20% - Ênfase6 24 2" xfId="975" xr:uid="{00000000-0005-0000-0000-0000D8010000}"/>
    <cellStyle name="20% - Ênfase6 25" xfId="390" xr:uid="{00000000-0005-0000-0000-0000D9010000}"/>
    <cellStyle name="20% - Ênfase6 25 2" xfId="989" xr:uid="{00000000-0005-0000-0000-0000DA010000}"/>
    <cellStyle name="20% - Ênfase6 26" xfId="404" xr:uid="{00000000-0005-0000-0000-0000DB010000}"/>
    <cellStyle name="20% - Ênfase6 26 2" xfId="1003" xr:uid="{00000000-0005-0000-0000-0000DC010000}"/>
    <cellStyle name="20% - Ênfase6 27" xfId="418" xr:uid="{00000000-0005-0000-0000-0000DD010000}"/>
    <cellStyle name="20% - Ênfase6 27 2" xfId="1017" xr:uid="{00000000-0005-0000-0000-0000DE010000}"/>
    <cellStyle name="20% - Ênfase6 28" xfId="432" xr:uid="{00000000-0005-0000-0000-0000DF010000}"/>
    <cellStyle name="20% - Ênfase6 28 2" xfId="1031" xr:uid="{00000000-0005-0000-0000-0000E0010000}"/>
    <cellStyle name="20% - Ênfase6 29" xfId="446" xr:uid="{00000000-0005-0000-0000-0000E1010000}"/>
    <cellStyle name="20% - Ênfase6 29 2" xfId="1045" xr:uid="{00000000-0005-0000-0000-0000E2010000}"/>
    <cellStyle name="20% - Ênfase6 3" xfId="82" xr:uid="{00000000-0005-0000-0000-0000E3010000}"/>
    <cellStyle name="20% - Ênfase6 3 2" xfId="695" xr:uid="{00000000-0005-0000-0000-0000E4010000}"/>
    <cellStyle name="20% - Ênfase6 30" xfId="460" xr:uid="{00000000-0005-0000-0000-0000E5010000}"/>
    <cellStyle name="20% - Ênfase6 30 2" xfId="1059" xr:uid="{00000000-0005-0000-0000-0000E6010000}"/>
    <cellStyle name="20% - Ênfase6 31" xfId="474" xr:uid="{00000000-0005-0000-0000-0000E7010000}"/>
    <cellStyle name="20% - Ênfase6 31 2" xfId="1073" xr:uid="{00000000-0005-0000-0000-0000E8010000}"/>
    <cellStyle name="20% - Ênfase6 32" xfId="488" xr:uid="{00000000-0005-0000-0000-0000E9010000}"/>
    <cellStyle name="20% - Ênfase6 32 2" xfId="1087" xr:uid="{00000000-0005-0000-0000-0000EA010000}"/>
    <cellStyle name="20% - Ênfase6 33" xfId="502" xr:uid="{00000000-0005-0000-0000-0000EB010000}"/>
    <cellStyle name="20% - Ênfase6 33 2" xfId="1101" xr:uid="{00000000-0005-0000-0000-0000EC010000}"/>
    <cellStyle name="20% - Ênfase6 34" xfId="516" xr:uid="{00000000-0005-0000-0000-0000ED010000}"/>
    <cellStyle name="20% - Ênfase6 34 2" xfId="1115" xr:uid="{00000000-0005-0000-0000-0000EE010000}"/>
    <cellStyle name="20% - Ênfase6 35" xfId="530" xr:uid="{00000000-0005-0000-0000-0000EF010000}"/>
    <cellStyle name="20% - Ênfase6 35 2" xfId="1129" xr:uid="{00000000-0005-0000-0000-0000F0010000}"/>
    <cellStyle name="20% - Ênfase6 36" xfId="544" xr:uid="{00000000-0005-0000-0000-0000F1010000}"/>
    <cellStyle name="20% - Ênfase6 36 2" xfId="1143" xr:uid="{00000000-0005-0000-0000-0000F2010000}"/>
    <cellStyle name="20% - Ênfase6 37" xfId="558" xr:uid="{00000000-0005-0000-0000-0000F3010000}"/>
    <cellStyle name="20% - Ênfase6 37 2" xfId="1157" xr:uid="{00000000-0005-0000-0000-0000F4010000}"/>
    <cellStyle name="20% - Ênfase6 38" xfId="572" xr:uid="{00000000-0005-0000-0000-0000F5010000}"/>
    <cellStyle name="20% - Ênfase6 38 2" xfId="1171" xr:uid="{00000000-0005-0000-0000-0000F6010000}"/>
    <cellStyle name="20% - Ênfase6 39" xfId="586" xr:uid="{00000000-0005-0000-0000-0000F7010000}"/>
    <cellStyle name="20% - Ênfase6 39 2" xfId="1185" xr:uid="{00000000-0005-0000-0000-0000F8010000}"/>
    <cellStyle name="20% - Ênfase6 4" xfId="96" xr:uid="{00000000-0005-0000-0000-0000F9010000}"/>
    <cellStyle name="20% - Ênfase6 4 2" xfId="709" xr:uid="{00000000-0005-0000-0000-0000FA010000}"/>
    <cellStyle name="20% - Ênfase6 40" xfId="600" xr:uid="{00000000-0005-0000-0000-0000FB010000}"/>
    <cellStyle name="20% - Ênfase6 40 2" xfId="1199" xr:uid="{00000000-0005-0000-0000-0000FC010000}"/>
    <cellStyle name="20% - Ênfase6 41" xfId="614" xr:uid="{00000000-0005-0000-0000-0000FD010000}"/>
    <cellStyle name="20% - Ênfase6 41 2" xfId="1213" xr:uid="{00000000-0005-0000-0000-0000FE010000}"/>
    <cellStyle name="20% - Ênfase6 42" xfId="628" xr:uid="{00000000-0005-0000-0000-0000FF010000}"/>
    <cellStyle name="20% - Ênfase6 42 2" xfId="1227" xr:uid="{00000000-0005-0000-0000-000000020000}"/>
    <cellStyle name="20% - Ênfase6 43" xfId="642" xr:uid="{00000000-0005-0000-0000-000001020000}"/>
    <cellStyle name="20% - Ênfase6 43 2" xfId="1241" xr:uid="{00000000-0005-0000-0000-000002020000}"/>
    <cellStyle name="20% - Ênfase6 44" xfId="656" xr:uid="{00000000-0005-0000-0000-000003020000}"/>
    <cellStyle name="20% - Ênfase6 45" xfId="1255" xr:uid="{00000000-0005-0000-0000-000004020000}"/>
    <cellStyle name="20% - Ênfase6 46" xfId="1269" xr:uid="{00000000-0005-0000-0000-000005020000}"/>
    <cellStyle name="20% - Ênfase6 47" xfId="1283" xr:uid="{00000000-0005-0000-0000-000006020000}"/>
    <cellStyle name="20% - Ênfase6 5" xfId="110" xr:uid="{00000000-0005-0000-0000-000007020000}"/>
    <cellStyle name="20% - Ênfase6 5 2" xfId="723" xr:uid="{00000000-0005-0000-0000-000008020000}"/>
    <cellStyle name="20% - Ênfase6 6" xfId="124" xr:uid="{00000000-0005-0000-0000-000009020000}"/>
    <cellStyle name="20% - Ênfase6 6 2" xfId="737" xr:uid="{00000000-0005-0000-0000-00000A020000}"/>
    <cellStyle name="20% - Ênfase6 7" xfId="138" xr:uid="{00000000-0005-0000-0000-00000B020000}"/>
    <cellStyle name="20% - Ênfase6 7 2" xfId="751" xr:uid="{00000000-0005-0000-0000-00000C020000}"/>
    <cellStyle name="20% - Ênfase6 8" xfId="152" xr:uid="{00000000-0005-0000-0000-00000D020000}"/>
    <cellStyle name="20% - Ênfase6 8 2" xfId="765" xr:uid="{00000000-0005-0000-0000-00000E020000}"/>
    <cellStyle name="20% - Ênfase6 9" xfId="166" xr:uid="{00000000-0005-0000-0000-00000F020000}"/>
    <cellStyle name="40% - Ênfase1" xfId="20" builtinId="31" customBuiltin="1"/>
    <cellStyle name="40% - Ênfase1 10" xfId="171" xr:uid="{00000000-0005-0000-0000-000011020000}"/>
    <cellStyle name="40% - Ênfase1 10 2" xfId="770" xr:uid="{00000000-0005-0000-0000-000012020000}"/>
    <cellStyle name="40% - Ênfase1 11" xfId="185" xr:uid="{00000000-0005-0000-0000-000013020000}"/>
    <cellStyle name="40% - Ênfase1 11 2" xfId="784" xr:uid="{00000000-0005-0000-0000-000014020000}"/>
    <cellStyle name="40% - Ênfase1 12" xfId="199" xr:uid="{00000000-0005-0000-0000-000015020000}"/>
    <cellStyle name="40% - Ênfase1 12 2" xfId="798" xr:uid="{00000000-0005-0000-0000-000016020000}"/>
    <cellStyle name="40% - Ênfase1 13" xfId="213" xr:uid="{00000000-0005-0000-0000-000017020000}"/>
    <cellStyle name="40% - Ênfase1 13 2" xfId="812" xr:uid="{00000000-0005-0000-0000-000018020000}"/>
    <cellStyle name="40% - Ênfase1 14" xfId="227" xr:uid="{00000000-0005-0000-0000-000019020000}"/>
    <cellStyle name="40% - Ênfase1 14 2" xfId="826" xr:uid="{00000000-0005-0000-0000-00001A020000}"/>
    <cellStyle name="40% - Ênfase1 15" xfId="241" xr:uid="{00000000-0005-0000-0000-00001B020000}"/>
    <cellStyle name="40% - Ênfase1 15 2" xfId="840" xr:uid="{00000000-0005-0000-0000-00001C020000}"/>
    <cellStyle name="40% - Ênfase1 16" xfId="255" xr:uid="{00000000-0005-0000-0000-00001D020000}"/>
    <cellStyle name="40% - Ênfase1 16 2" xfId="854" xr:uid="{00000000-0005-0000-0000-00001E020000}"/>
    <cellStyle name="40% - Ênfase1 17" xfId="269" xr:uid="{00000000-0005-0000-0000-00001F020000}"/>
    <cellStyle name="40% - Ênfase1 17 2" xfId="868" xr:uid="{00000000-0005-0000-0000-000020020000}"/>
    <cellStyle name="40% - Ênfase1 18" xfId="283" xr:uid="{00000000-0005-0000-0000-000021020000}"/>
    <cellStyle name="40% - Ênfase1 18 2" xfId="882" xr:uid="{00000000-0005-0000-0000-000022020000}"/>
    <cellStyle name="40% - Ênfase1 19" xfId="297" xr:uid="{00000000-0005-0000-0000-000023020000}"/>
    <cellStyle name="40% - Ênfase1 19 2" xfId="896" xr:uid="{00000000-0005-0000-0000-000024020000}"/>
    <cellStyle name="40% - Ênfase1 2" xfId="59" xr:uid="{00000000-0005-0000-0000-000025020000}"/>
    <cellStyle name="40% - Ênfase1 2 2" xfId="672" xr:uid="{00000000-0005-0000-0000-000026020000}"/>
    <cellStyle name="40% - Ênfase1 20" xfId="311" xr:uid="{00000000-0005-0000-0000-000027020000}"/>
    <cellStyle name="40% - Ênfase1 20 2" xfId="910" xr:uid="{00000000-0005-0000-0000-000028020000}"/>
    <cellStyle name="40% - Ênfase1 21" xfId="325" xr:uid="{00000000-0005-0000-0000-000029020000}"/>
    <cellStyle name="40% - Ênfase1 21 2" xfId="924" xr:uid="{00000000-0005-0000-0000-00002A020000}"/>
    <cellStyle name="40% - Ênfase1 22" xfId="339" xr:uid="{00000000-0005-0000-0000-00002B020000}"/>
    <cellStyle name="40% - Ênfase1 22 2" xfId="938" xr:uid="{00000000-0005-0000-0000-00002C020000}"/>
    <cellStyle name="40% - Ênfase1 23" xfId="353" xr:uid="{00000000-0005-0000-0000-00002D020000}"/>
    <cellStyle name="40% - Ênfase1 23 2" xfId="952" xr:uid="{00000000-0005-0000-0000-00002E020000}"/>
    <cellStyle name="40% - Ênfase1 24" xfId="367" xr:uid="{00000000-0005-0000-0000-00002F020000}"/>
    <cellStyle name="40% - Ênfase1 24 2" xfId="966" xr:uid="{00000000-0005-0000-0000-000030020000}"/>
    <cellStyle name="40% - Ênfase1 25" xfId="381" xr:uid="{00000000-0005-0000-0000-000031020000}"/>
    <cellStyle name="40% - Ênfase1 25 2" xfId="980" xr:uid="{00000000-0005-0000-0000-000032020000}"/>
    <cellStyle name="40% - Ênfase1 26" xfId="395" xr:uid="{00000000-0005-0000-0000-000033020000}"/>
    <cellStyle name="40% - Ênfase1 26 2" xfId="994" xr:uid="{00000000-0005-0000-0000-000034020000}"/>
    <cellStyle name="40% - Ênfase1 27" xfId="409" xr:uid="{00000000-0005-0000-0000-000035020000}"/>
    <cellStyle name="40% - Ênfase1 27 2" xfId="1008" xr:uid="{00000000-0005-0000-0000-000036020000}"/>
    <cellStyle name="40% - Ênfase1 28" xfId="423" xr:uid="{00000000-0005-0000-0000-000037020000}"/>
    <cellStyle name="40% - Ênfase1 28 2" xfId="1022" xr:uid="{00000000-0005-0000-0000-000038020000}"/>
    <cellStyle name="40% - Ênfase1 29" xfId="437" xr:uid="{00000000-0005-0000-0000-000039020000}"/>
    <cellStyle name="40% - Ênfase1 29 2" xfId="1036" xr:uid="{00000000-0005-0000-0000-00003A020000}"/>
    <cellStyle name="40% - Ênfase1 3" xfId="73" xr:uid="{00000000-0005-0000-0000-00003B020000}"/>
    <cellStyle name="40% - Ênfase1 3 2" xfId="686" xr:uid="{00000000-0005-0000-0000-00003C020000}"/>
    <cellStyle name="40% - Ênfase1 30" xfId="451" xr:uid="{00000000-0005-0000-0000-00003D020000}"/>
    <cellStyle name="40% - Ênfase1 30 2" xfId="1050" xr:uid="{00000000-0005-0000-0000-00003E020000}"/>
    <cellStyle name="40% - Ênfase1 31" xfId="465" xr:uid="{00000000-0005-0000-0000-00003F020000}"/>
    <cellStyle name="40% - Ênfase1 31 2" xfId="1064" xr:uid="{00000000-0005-0000-0000-000040020000}"/>
    <cellStyle name="40% - Ênfase1 32" xfId="479" xr:uid="{00000000-0005-0000-0000-000041020000}"/>
    <cellStyle name="40% - Ênfase1 32 2" xfId="1078" xr:uid="{00000000-0005-0000-0000-000042020000}"/>
    <cellStyle name="40% - Ênfase1 33" xfId="493" xr:uid="{00000000-0005-0000-0000-000043020000}"/>
    <cellStyle name="40% - Ênfase1 33 2" xfId="1092" xr:uid="{00000000-0005-0000-0000-000044020000}"/>
    <cellStyle name="40% - Ênfase1 34" xfId="507" xr:uid="{00000000-0005-0000-0000-000045020000}"/>
    <cellStyle name="40% - Ênfase1 34 2" xfId="1106" xr:uid="{00000000-0005-0000-0000-000046020000}"/>
    <cellStyle name="40% - Ênfase1 35" xfId="521" xr:uid="{00000000-0005-0000-0000-000047020000}"/>
    <cellStyle name="40% - Ênfase1 35 2" xfId="1120" xr:uid="{00000000-0005-0000-0000-000048020000}"/>
    <cellStyle name="40% - Ênfase1 36" xfId="535" xr:uid="{00000000-0005-0000-0000-000049020000}"/>
    <cellStyle name="40% - Ênfase1 36 2" xfId="1134" xr:uid="{00000000-0005-0000-0000-00004A020000}"/>
    <cellStyle name="40% - Ênfase1 37" xfId="549" xr:uid="{00000000-0005-0000-0000-00004B020000}"/>
    <cellStyle name="40% - Ênfase1 37 2" xfId="1148" xr:uid="{00000000-0005-0000-0000-00004C020000}"/>
    <cellStyle name="40% - Ênfase1 38" xfId="563" xr:uid="{00000000-0005-0000-0000-00004D020000}"/>
    <cellStyle name="40% - Ênfase1 38 2" xfId="1162" xr:uid="{00000000-0005-0000-0000-00004E020000}"/>
    <cellStyle name="40% - Ênfase1 39" xfId="577" xr:uid="{00000000-0005-0000-0000-00004F020000}"/>
    <cellStyle name="40% - Ênfase1 39 2" xfId="1176" xr:uid="{00000000-0005-0000-0000-000050020000}"/>
    <cellStyle name="40% - Ênfase1 4" xfId="87" xr:uid="{00000000-0005-0000-0000-000051020000}"/>
    <cellStyle name="40% - Ênfase1 4 2" xfId="700" xr:uid="{00000000-0005-0000-0000-000052020000}"/>
    <cellStyle name="40% - Ênfase1 40" xfId="591" xr:uid="{00000000-0005-0000-0000-000053020000}"/>
    <cellStyle name="40% - Ênfase1 40 2" xfId="1190" xr:uid="{00000000-0005-0000-0000-000054020000}"/>
    <cellStyle name="40% - Ênfase1 41" xfId="605" xr:uid="{00000000-0005-0000-0000-000055020000}"/>
    <cellStyle name="40% - Ênfase1 41 2" xfId="1204" xr:uid="{00000000-0005-0000-0000-000056020000}"/>
    <cellStyle name="40% - Ênfase1 42" xfId="619" xr:uid="{00000000-0005-0000-0000-000057020000}"/>
    <cellStyle name="40% - Ênfase1 42 2" xfId="1218" xr:uid="{00000000-0005-0000-0000-000058020000}"/>
    <cellStyle name="40% - Ênfase1 43" xfId="633" xr:uid="{00000000-0005-0000-0000-000059020000}"/>
    <cellStyle name="40% - Ênfase1 43 2" xfId="1232" xr:uid="{00000000-0005-0000-0000-00005A020000}"/>
    <cellStyle name="40% - Ênfase1 44" xfId="647" xr:uid="{00000000-0005-0000-0000-00005B020000}"/>
    <cellStyle name="40% - Ênfase1 45" xfId="1246" xr:uid="{00000000-0005-0000-0000-00005C020000}"/>
    <cellStyle name="40% - Ênfase1 46" xfId="1260" xr:uid="{00000000-0005-0000-0000-00005D020000}"/>
    <cellStyle name="40% - Ênfase1 47" xfId="1274" xr:uid="{00000000-0005-0000-0000-00005E020000}"/>
    <cellStyle name="40% - Ênfase1 5" xfId="101" xr:uid="{00000000-0005-0000-0000-00005F020000}"/>
    <cellStyle name="40% - Ênfase1 5 2" xfId="714" xr:uid="{00000000-0005-0000-0000-000060020000}"/>
    <cellStyle name="40% - Ênfase1 6" xfId="115" xr:uid="{00000000-0005-0000-0000-000061020000}"/>
    <cellStyle name="40% - Ênfase1 6 2" xfId="728" xr:uid="{00000000-0005-0000-0000-000062020000}"/>
    <cellStyle name="40% - Ênfase1 7" xfId="129" xr:uid="{00000000-0005-0000-0000-000063020000}"/>
    <cellStyle name="40% - Ênfase1 7 2" xfId="742" xr:uid="{00000000-0005-0000-0000-000064020000}"/>
    <cellStyle name="40% - Ênfase1 8" xfId="143" xr:uid="{00000000-0005-0000-0000-000065020000}"/>
    <cellStyle name="40% - Ênfase1 8 2" xfId="756" xr:uid="{00000000-0005-0000-0000-000066020000}"/>
    <cellStyle name="40% - Ênfase1 9" xfId="157" xr:uid="{00000000-0005-0000-0000-000067020000}"/>
    <cellStyle name="40% - Ênfase2" xfId="24" builtinId="35" customBuiltin="1"/>
    <cellStyle name="40% - Ênfase2 10" xfId="173" xr:uid="{00000000-0005-0000-0000-000069020000}"/>
    <cellStyle name="40% - Ênfase2 10 2" xfId="772" xr:uid="{00000000-0005-0000-0000-00006A020000}"/>
    <cellStyle name="40% - Ênfase2 11" xfId="187" xr:uid="{00000000-0005-0000-0000-00006B020000}"/>
    <cellStyle name="40% - Ênfase2 11 2" xfId="786" xr:uid="{00000000-0005-0000-0000-00006C020000}"/>
    <cellStyle name="40% - Ênfase2 12" xfId="201" xr:uid="{00000000-0005-0000-0000-00006D020000}"/>
    <cellStyle name="40% - Ênfase2 12 2" xfId="800" xr:uid="{00000000-0005-0000-0000-00006E020000}"/>
    <cellStyle name="40% - Ênfase2 13" xfId="215" xr:uid="{00000000-0005-0000-0000-00006F020000}"/>
    <cellStyle name="40% - Ênfase2 13 2" xfId="814" xr:uid="{00000000-0005-0000-0000-000070020000}"/>
    <cellStyle name="40% - Ênfase2 14" xfId="229" xr:uid="{00000000-0005-0000-0000-000071020000}"/>
    <cellStyle name="40% - Ênfase2 14 2" xfId="828" xr:uid="{00000000-0005-0000-0000-000072020000}"/>
    <cellStyle name="40% - Ênfase2 15" xfId="243" xr:uid="{00000000-0005-0000-0000-000073020000}"/>
    <cellStyle name="40% - Ênfase2 15 2" xfId="842" xr:uid="{00000000-0005-0000-0000-000074020000}"/>
    <cellStyle name="40% - Ênfase2 16" xfId="257" xr:uid="{00000000-0005-0000-0000-000075020000}"/>
    <cellStyle name="40% - Ênfase2 16 2" xfId="856" xr:uid="{00000000-0005-0000-0000-000076020000}"/>
    <cellStyle name="40% - Ênfase2 17" xfId="271" xr:uid="{00000000-0005-0000-0000-000077020000}"/>
    <cellStyle name="40% - Ênfase2 17 2" xfId="870" xr:uid="{00000000-0005-0000-0000-000078020000}"/>
    <cellStyle name="40% - Ênfase2 18" xfId="285" xr:uid="{00000000-0005-0000-0000-000079020000}"/>
    <cellStyle name="40% - Ênfase2 18 2" xfId="884" xr:uid="{00000000-0005-0000-0000-00007A020000}"/>
    <cellStyle name="40% - Ênfase2 19" xfId="299" xr:uid="{00000000-0005-0000-0000-00007B020000}"/>
    <cellStyle name="40% - Ênfase2 19 2" xfId="898" xr:uid="{00000000-0005-0000-0000-00007C020000}"/>
    <cellStyle name="40% - Ênfase2 2" xfId="61" xr:uid="{00000000-0005-0000-0000-00007D020000}"/>
    <cellStyle name="40% - Ênfase2 2 2" xfId="674" xr:uid="{00000000-0005-0000-0000-00007E020000}"/>
    <cellStyle name="40% - Ênfase2 20" xfId="313" xr:uid="{00000000-0005-0000-0000-00007F020000}"/>
    <cellStyle name="40% - Ênfase2 20 2" xfId="912" xr:uid="{00000000-0005-0000-0000-000080020000}"/>
    <cellStyle name="40% - Ênfase2 21" xfId="327" xr:uid="{00000000-0005-0000-0000-000081020000}"/>
    <cellStyle name="40% - Ênfase2 21 2" xfId="926" xr:uid="{00000000-0005-0000-0000-000082020000}"/>
    <cellStyle name="40% - Ênfase2 22" xfId="341" xr:uid="{00000000-0005-0000-0000-000083020000}"/>
    <cellStyle name="40% - Ênfase2 22 2" xfId="940" xr:uid="{00000000-0005-0000-0000-000084020000}"/>
    <cellStyle name="40% - Ênfase2 23" xfId="355" xr:uid="{00000000-0005-0000-0000-000085020000}"/>
    <cellStyle name="40% - Ênfase2 23 2" xfId="954" xr:uid="{00000000-0005-0000-0000-000086020000}"/>
    <cellStyle name="40% - Ênfase2 24" xfId="369" xr:uid="{00000000-0005-0000-0000-000087020000}"/>
    <cellStyle name="40% - Ênfase2 24 2" xfId="968" xr:uid="{00000000-0005-0000-0000-000088020000}"/>
    <cellStyle name="40% - Ênfase2 25" xfId="383" xr:uid="{00000000-0005-0000-0000-000089020000}"/>
    <cellStyle name="40% - Ênfase2 25 2" xfId="982" xr:uid="{00000000-0005-0000-0000-00008A020000}"/>
    <cellStyle name="40% - Ênfase2 26" xfId="397" xr:uid="{00000000-0005-0000-0000-00008B020000}"/>
    <cellStyle name="40% - Ênfase2 26 2" xfId="996" xr:uid="{00000000-0005-0000-0000-00008C020000}"/>
    <cellStyle name="40% - Ênfase2 27" xfId="411" xr:uid="{00000000-0005-0000-0000-00008D020000}"/>
    <cellStyle name="40% - Ênfase2 27 2" xfId="1010" xr:uid="{00000000-0005-0000-0000-00008E020000}"/>
    <cellStyle name="40% - Ênfase2 28" xfId="425" xr:uid="{00000000-0005-0000-0000-00008F020000}"/>
    <cellStyle name="40% - Ênfase2 28 2" xfId="1024" xr:uid="{00000000-0005-0000-0000-000090020000}"/>
    <cellStyle name="40% - Ênfase2 29" xfId="439" xr:uid="{00000000-0005-0000-0000-000091020000}"/>
    <cellStyle name="40% - Ênfase2 29 2" xfId="1038" xr:uid="{00000000-0005-0000-0000-000092020000}"/>
    <cellStyle name="40% - Ênfase2 3" xfId="75" xr:uid="{00000000-0005-0000-0000-000093020000}"/>
    <cellStyle name="40% - Ênfase2 3 2" xfId="688" xr:uid="{00000000-0005-0000-0000-000094020000}"/>
    <cellStyle name="40% - Ênfase2 30" xfId="453" xr:uid="{00000000-0005-0000-0000-000095020000}"/>
    <cellStyle name="40% - Ênfase2 30 2" xfId="1052" xr:uid="{00000000-0005-0000-0000-000096020000}"/>
    <cellStyle name="40% - Ênfase2 31" xfId="467" xr:uid="{00000000-0005-0000-0000-000097020000}"/>
    <cellStyle name="40% - Ênfase2 31 2" xfId="1066" xr:uid="{00000000-0005-0000-0000-000098020000}"/>
    <cellStyle name="40% - Ênfase2 32" xfId="481" xr:uid="{00000000-0005-0000-0000-000099020000}"/>
    <cellStyle name="40% - Ênfase2 32 2" xfId="1080" xr:uid="{00000000-0005-0000-0000-00009A020000}"/>
    <cellStyle name="40% - Ênfase2 33" xfId="495" xr:uid="{00000000-0005-0000-0000-00009B020000}"/>
    <cellStyle name="40% - Ênfase2 33 2" xfId="1094" xr:uid="{00000000-0005-0000-0000-00009C020000}"/>
    <cellStyle name="40% - Ênfase2 34" xfId="509" xr:uid="{00000000-0005-0000-0000-00009D020000}"/>
    <cellStyle name="40% - Ênfase2 34 2" xfId="1108" xr:uid="{00000000-0005-0000-0000-00009E020000}"/>
    <cellStyle name="40% - Ênfase2 35" xfId="523" xr:uid="{00000000-0005-0000-0000-00009F020000}"/>
    <cellStyle name="40% - Ênfase2 35 2" xfId="1122" xr:uid="{00000000-0005-0000-0000-0000A0020000}"/>
    <cellStyle name="40% - Ênfase2 36" xfId="537" xr:uid="{00000000-0005-0000-0000-0000A1020000}"/>
    <cellStyle name="40% - Ênfase2 36 2" xfId="1136" xr:uid="{00000000-0005-0000-0000-0000A2020000}"/>
    <cellStyle name="40% - Ênfase2 37" xfId="551" xr:uid="{00000000-0005-0000-0000-0000A3020000}"/>
    <cellStyle name="40% - Ênfase2 37 2" xfId="1150" xr:uid="{00000000-0005-0000-0000-0000A4020000}"/>
    <cellStyle name="40% - Ênfase2 38" xfId="565" xr:uid="{00000000-0005-0000-0000-0000A5020000}"/>
    <cellStyle name="40% - Ênfase2 38 2" xfId="1164" xr:uid="{00000000-0005-0000-0000-0000A6020000}"/>
    <cellStyle name="40% - Ênfase2 39" xfId="579" xr:uid="{00000000-0005-0000-0000-0000A7020000}"/>
    <cellStyle name="40% - Ênfase2 39 2" xfId="1178" xr:uid="{00000000-0005-0000-0000-0000A8020000}"/>
    <cellStyle name="40% - Ênfase2 4" xfId="89" xr:uid="{00000000-0005-0000-0000-0000A9020000}"/>
    <cellStyle name="40% - Ênfase2 4 2" xfId="702" xr:uid="{00000000-0005-0000-0000-0000AA020000}"/>
    <cellStyle name="40% - Ênfase2 40" xfId="593" xr:uid="{00000000-0005-0000-0000-0000AB020000}"/>
    <cellStyle name="40% - Ênfase2 40 2" xfId="1192" xr:uid="{00000000-0005-0000-0000-0000AC020000}"/>
    <cellStyle name="40% - Ênfase2 41" xfId="607" xr:uid="{00000000-0005-0000-0000-0000AD020000}"/>
    <cellStyle name="40% - Ênfase2 41 2" xfId="1206" xr:uid="{00000000-0005-0000-0000-0000AE020000}"/>
    <cellStyle name="40% - Ênfase2 42" xfId="621" xr:uid="{00000000-0005-0000-0000-0000AF020000}"/>
    <cellStyle name="40% - Ênfase2 42 2" xfId="1220" xr:uid="{00000000-0005-0000-0000-0000B0020000}"/>
    <cellStyle name="40% - Ênfase2 43" xfId="635" xr:uid="{00000000-0005-0000-0000-0000B1020000}"/>
    <cellStyle name="40% - Ênfase2 43 2" xfId="1234" xr:uid="{00000000-0005-0000-0000-0000B2020000}"/>
    <cellStyle name="40% - Ênfase2 44" xfId="649" xr:uid="{00000000-0005-0000-0000-0000B3020000}"/>
    <cellStyle name="40% - Ênfase2 45" xfId="1248" xr:uid="{00000000-0005-0000-0000-0000B4020000}"/>
    <cellStyle name="40% - Ênfase2 46" xfId="1262" xr:uid="{00000000-0005-0000-0000-0000B5020000}"/>
    <cellStyle name="40% - Ênfase2 47" xfId="1276" xr:uid="{00000000-0005-0000-0000-0000B6020000}"/>
    <cellStyle name="40% - Ênfase2 5" xfId="103" xr:uid="{00000000-0005-0000-0000-0000B7020000}"/>
    <cellStyle name="40% - Ênfase2 5 2" xfId="716" xr:uid="{00000000-0005-0000-0000-0000B8020000}"/>
    <cellStyle name="40% - Ênfase2 6" xfId="117" xr:uid="{00000000-0005-0000-0000-0000B9020000}"/>
    <cellStyle name="40% - Ênfase2 6 2" xfId="730" xr:uid="{00000000-0005-0000-0000-0000BA020000}"/>
    <cellStyle name="40% - Ênfase2 7" xfId="131" xr:uid="{00000000-0005-0000-0000-0000BB020000}"/>
    <cellStyle name="40% - Ênfase2 7 2" xfId="744" xr:uid="{00000000-0005-0000-0000-0000BC020000}"/>
    <cellStyle name="40% - Ênfase2 8" xfId="145" xr:uid="{00000000-0005-0000-0000-0000BD020000}"/>
    <cellStyle name="40% - Ênfase2 8 2" xfId="758" xr:uid="{00000000-0005-0000-0000-0000BE020000}"/>
    <cellStyle name="40% - Ênfase2 9" xfId="159" xr:uid="{00000000-0005-0000-0000-0000BF020000}"/>
    <cellStyle name="40% - Ênfase3" xfId="28" builtinId="39" customBuiltin="1"/>
    <cellStyle name="40% - Ênfase3 10" xfId="175" xr:uid="{00000000-0005-0000-0000-0000C1020000}"/>
    <cellStyle name="40% - Ênfase3 10 2" xfId="774" xr:uid="{00000000-0005-0000-0000-0000C2020000}"/>
    <cellStyle name="40% - Ênfase3 11" xfId="189" xr:uid="{00000000-0005-0000-0000-0000C3020000}"/>
    <cellStyle name="40% - Ênfase3 11 2" xfId="788" xr:uid="{00000000-0005-0000-0000-0000C4020000}"/>
    <cellStyle name="40% - Ênfase3 12" xfId="203" xr:uid="{00000000-0005-0000-0000-0000C5020000}"/>
    <cellStyle name="40% - Ênfase3 12 2" xfId="802" xr:uid="{00000000-0005-0000-0000-0000C6020000}"/>
    <cellStyle name="40% - Ênfase3 13" xfId="217" xr:uid="{00000000-0005-0000-0000-0000C7020000}"/>
    <cellStyle name="40% - Ênfase3 13 2" xfId="816" xr:uid="{00000000-0005-0000-0000-0000C8020000}"/>
    <cellStyle name="40% - Ênfase3 14" xfId="231" xr:uid="{00000000-0005-0000-0000-0000C9020000}"/>
    <cellStyle name="40% - Ênfase3 14 2" xfId="830" xr:uid="{00000000-0005-0000-0000-0000CA020000}"/>
    <cellStyle name="40% - Ênfase3 15" xfId="245" xr:uid="{00000000-0005-0000-0000-0000CB020000}"/>
    <cellStyle name="40% - Ênfase3 15 2" xfId="844" xr:uid="{00000000-0005-0000-0000-0000CC020000}"/>
    <cellStyle name="40% - Ênfase3 16" xfId="259" xr:uid="{00000000-0005-0000-0000-0000CD020000}"/>
    <cellStyle name="40% - Ênfase3 16 2" xfId="858" xr:uid="{00000000-0005-0000-0000-0000CE020000}"/>
    <cellStyle name="40% - Ênfase3 17" xfId="273" xr:uid="{00000000-0005-0000-0000-0000CF020000}"/>
    <cellStyle name="40% - Ênfase3 17 2" xfId="872" xr:uid="{00000000-0005-0000-0000-0000D0020000}"/>
    <cellStyle name="40% - Ênfase3 18" xfId="287" xr:uid="{00000000-0005-0000-0000-0000D1020000}"/>
    <cellStyle name="40% - Ênfase3 18 2" xfId="886" xr:uid="{00000000-0005-0000-0000-0000D2020000}"/>
    <cellStyle name="40% - Ênfase3 19" xfId="301" xr:uid="{00000000-0005-0000-0000-0000D3020000}"/>
    <cellStyle name="40% - Ênfase3 19 2" xfId="900" xr:uid="{00000000-0005-0000-0000-0000D4020000}"/>
    <cellStyle name="40% - Ênfase3 2" xfId="63" xr:uid="{00000000-0005-0000-0000-0000D5020000}"/>
    <cellStyle name="40% - Ênfase3 2 2" xfId="676" xr:uid="{00000000-0005-0000-0000-0000D6020000}"/>
    <cellStyle name="40% - Ênfase3 20" xfId="315" xr:uid="{00000000-0005-0000-0000-0000D7020000}"/>
    <cellStyle name="40% - Ênfase3 20 2" xfId="914" xr:uid="{00000000-0005-0000-0000-0000D8020000}"/>
    <cellStyle name="40% - Ênfase3 21" xfId="329" xr:uid="{00000000-0005-0000-0000-0000D9020000}"/>
    <cellStyle name="40% - Ênfase3 21 2" xfId="928" xr:uid="{00000000-0005-0000-0000-0000DA020000}"/>
    <cellStyle name="40% - Ênfase3 22" xfId="343" xr:uid="{00000000-0005-0000-0000-0000DB020000}"/>
    <cellStyle name="40% - Ênfase3 22 2" xfId="942" xr:uid="{00000000-0005-0000-0000-0000DC020000}"/>
    <cellStyle name="40% - Ênfase3 23" xfId="357" xr:uid="{00000000-0005-0000-0000-0000DD020000}"/>
    <cellStyle name="40% - Ênfase3 23 2" xfId="956" xr:uid="{00000000-0005-0000-0000-0000DE020000}"/>
    <cellStyle name="40% - Ênfase3 24" xfId="371" xr:uid="{00000000-0005-0000-0000-0000DF020000}"/>
    <cellStyle name="40% - Ênfase3 24 2" xfId="970" xr:uid="{00000000-0005-0000-0000-0000E0020000}"/>
    <cellStyle name="40% - Ênfase3 25" xfId="385" xr:uid="{00000000-0005-0000-0000-0000E1020000}"/>
    <cellStyle name="40% - Ênfase3 25 2" xfId="984" xr:uid="{00000000-0005-0000-0000-0000E2020000}"/>
    <cellStyle name="40% - Ênfase3 26" xfId="399" xr:uid="{00000000-0005-0000-0000-0000E3020000}"/>
    <cellStyle name="40% - Ênfase3 26 2" xfId="998" xr:uid="{00000000-0005-0000-0000-0000E4020000}"/>
    <cellStyle name="40% - Ênfase3 27" xfId="413" xr:uid="{00000000-0005-0000-0000-0000E5020000}"/>
    <cellStyle name="40% - Ênfase3 27 2" xfId="1012" xr:uid="{00000000-0005-0000-0000-0000E6020000}"/>
    <cellStyle name="40% - Ênfase3 28" xfId="427" xr:uid="{00000000-0005-0000-0000-0000E7020000}"/>
    <cellStyle name="40% - Ênfase3 28 2" xfId="1026" xr:uid="{00000000-0005-0000-0000-0000E8020000}"/>
    <cellStyle name="40% - Ênfase3 29" xfId="441" xr:uid="{00000000-0005-0000-0000-0000E9020000}"/>
    <cellStyle name="40% - Ênfase3 29 2" xfId="1040" xr:uid="{00000000-0005-0000-0000-0000EA020000}"/>
    <cellStyle name="40% - Ênfase3 3" xfId="77" xr:uid="{00000000-0005-0000-0000-0000EB020000}"/>
    <cellStyle name="40% - Ênfase3 3 2" xfId="690" xr:uid="{00000000-0005-0000-0000-0000EC020000}"/>
    <cellStyle name="40% - Ênfase3 30" xfId="455" xr:uid="{00000000-0005-0000-0000-0000ED020000}"/>
    <cellStyle name="40% - Ênfase3 30 2" xfId="1054" xr:uid="{00000000-0005-0000-0000-0000EE020000}"/>
    <cellStyle name="40% - Ênfase3 31" xfId="469" xr:uid="{00000000-0005-0000-0000-0000EF020000}"/>
    <cellStyle name="40% - Ênfase3 31 2" xfId="1068" xr:uid="{00000000-0005-0000-0000-0000F0020000}"/>
    <cellStyle name="40% - Ênfase3 32" xfId="483" xr:uid="{00000000-0005-0000-0000-0000F1020000}"/>
    <cellStyle name="40% - Ênfase3 32 2" xfId="1082" xr:uid="{00000000-0005-0000-0000-0000F2020000}"/>
    <cellStyle name="40% - Ênfase3 33" xfId="497" xr:uid="{00000000-0005-0000-0000-0000F3020000}"/>
    <cellStyle name="40% - Ênfase3 33 2" xfId="1096" xr:uid="{00000000-0005-0000-0000-0000F4020000}"/>
    <cellStyle name="40% - Ênfase3 34" xfId="511" xr:uid="{00000000-0005-0000-0000-0000F5020000}"/>
    <cellStyle name="40% - Ênfase3 34 2" xfId="1110" xr:uid="{00000000-0005-0000-0000-0000F6020000}"/>
    <cellStyle name="40% - Ênfase3 35" xfId="525" xr:uid="{00000000-0005-0000-0000-0000F7020000}"/>
    <cellStyle name="40% - Ênfase3 35 2" xfId="1124" xr:uid="{00000000-0005-0000-0000-0000F8020000}"/>
    <cellStyle name="40% - Ênfase3 36" xfId="539" xr:uid="{00000000-0005-0000-0000-0000F9020000}"/>
    <cellStyle name="40% - Ênfase3 36 2" xfId="1138" xr:uid="{00000000-0005-0000-0000-0000FA020000}"/>
    <cellStyle name="40% - Ênfase3 37" xfId="553" xr:uid="{00000000-0005-0000-0000-0000FB020000}"/>
    <cellStyle name="40% - Ênfase3 37 2" xfId="1152" xr:uid="{00000000-0005-0000-0000-0000FC020000}"/>
    <cellStyle name="40% - Ênfase3 38" xfId="567" xr:uid="{00000000-0005-0000-0000-0000FD020000}"/>
    <cellStyle name="40% - Ênfase3 38 2" xfId="1166" xr:uid="{00000000-0005-0000-0000-0000FE020000}"/>
    <cellStyle name="40% - Ênfase3 39" xfId="581" xr:uid="{00000000-0005-0000-0000-0000FF020000}"/>
    <cellStyle name="40% - Ênfase3 39 2" xfId="1180" xr:uid="{00000000-0005-0000-0000-000000030000}"/>
    <cellStyle name="40% - Ênfase3 4" xfId="91" xr:uid="{00000000-0005-0000-0000-000001030000}"/>
    <cellStyle name="40% - Ênfase3 4 2" xfId="704" xr:uid="{00000000-0005-0000-0000-000002030000}"/>
    <cellStyle name="40% - Ênfase3 40" xfId="595" xr:uid="{00000000-0005-0000-0000-000003030000}"/>
    <cellStyle name="40% - Ênfase3 40 2" xfId="1194" xr:uid="{00000000-0005-0000-0000-000004030000}"/>
    <cellStyle name="40% - Ênfase3 41" xfId="609" xr:uid="{00000000-0005-0000-0000-000005030000}"/>
    <cellStyle name="40% - Ênfase3 41 2" xfId="1208" xr:uid="{00000000-0005-0000-0000-000006030000}"/>
    <cellStyle name="40% - Ênfase3 42" xfId="623" xr:uid="{00000000-0005-0000-0000-000007030000}"/>
    <cellStyle name="40% - Ênfase3 42 2" xfId="1222" xr:uid="{00000000-0005-0000-0000-000008030000}"/>
    <cellStyle name="40% - Ênfase3 43" xfId="637" xr:uid="{00000000-0005-0000-0000-000009030000}"/>
    <cellStyle name="40% - Ênfase3 43 2" xfId="1236" xr:uid="{00000000-0005-0000-0000-00000A030000}"/>
    <cellStyle name="40% - Ênfase3 44" xfId="651" xr:uid="{00000000-0005-0000-0000-00000B030000}"/>
    <cellStyle name="40% - Ênfase3 45" xfId="1250" xr:uid="{00000000-0005-0000-0000-00000C030000}"/>
    <cellStyle name="40% - Ênfase3 46" xfId="1264" xr:uid="{00000000-0005-0000-0000-00000D030000}"/>
    <cellStyle name="40% - Ênfase3 47" xfId="1278" xr:uid="{00000000-0005-0000-0000-00000E030000}"/>
    <cellStyle name="40% - Ênfase3 5" xfId="105" xr:uid="{00000000-0005-0000-0000-00000F030000}"/>
    <cellStyle name="40% - Ênfase3 5 2" xfId="718" xr:uid="{00000000-0005-0000-0000-000010030000}"/>
    <cellStyle name="40% - Ênfase3 6" xfId="119" xr:uid="{00000000-0005-0000-0000-000011030000}"/>
    <cellStyle name="40% - Ênfase3 6 2" xfId="732" xr:uid="{00000000-0005-0000-0000-000012030000}"/>
    <cellStyle name="40% - Ênfase3 7" xfId="133" xr:uid="{00000000-0005-0000-0000-000013030000}"/>
    <cellStyle name="40% - Ênfase3 7 2" xfId="746" xr:uid="{00000000-0005-0000-0000-000014030000}"/>
    <cellStyle name="40% - Ênfase3 8" xfId="147" xr:uid="{00000000-0005-0000-0000-000015030000}"/>
    <cellStyle name="40% - Ênfase3 8 2" xfId="760" xr:uid="{00000000-0005-0000-0000-000016030000}"/>
    <cellStyle name="40% - Ênfase3 9" xfId="161" xr:uid="{00000000-0005-0000-0000-000017030000}"/>
    <cellStyle name="40% - Ênfase4" xfId="32" builtinId="43" customBuiltin="1"/>
    <cellStyle name="40% - Ênfase4 10" xfId="177" xr:uid="{00000000-0005-0000-0000-000019030000}"/>
    <cellStyle name="40% - Ênfase4 10 2" xfId="776" xr:uid="{00000000-0005-0000-0000-00001A030000}"/>
    <cellStyle name="40% - Ênfase4 11" xfId="191" xr:uid="{00000000-0005-0000-0000-00001B030000}"/>
    <cellStyle name="40% - Ênfase4 11 2" xfId="790" xr:uid="{00000000-0005-0000-0000-00001C030000}"/>
    <cellStyle name="40% - Ênfase4 12" xfId="205" xr:uid="{00000000-0005-0000-0000-00001D030000}"/>
    <cellStyle name="40% - Ênfase4 12 2" xfId="804" xr:uid="{00000000-0005-0000-0000-00001E030000}"/>
    <cellStyle name="40% - Ênfase4 13" xfId="219" xr:uid="{00000000-0005-0000-0000-00001F030000}"/>
    <cellStyle name="40% - Ênfase4 13 2" xfId="818" xr:uid="{00000000-0005-0000-0000-000020030000}"/>
    <cellStyle name="40% - Ênfase4 14" xfId="233" xr:uid="{00000000-0005-0000-0000-000021030000}"/>
    <cellStyle name="40% - Ênfase4 14 2" xfId="832" xr:uid="{00000000-0005-0000-0000-000022030000}"/>
    <cellStyle name="40% - Ênfase4 15" xfId="247" xr:uid="{00000000-0005-0000-0000-000023030000}"/>
    <cellStyle name="40% - Ênfase4 15 2" xfId="846" xr:uid="{00000000-0005-0000-0000-000024030000}"/>
    <cellStyle name="40% - Ênfase4 16" xfId="261" xr:uid="{00000000-0005-0000-0000-000025030000}"/>
    <cellStyle name="40% - Ênfase4 16 2" xfId="860" xr:uid="{00000000-0005-0000-0000-000026030000}"/>
    <cellStyle name="40% - Ênfase4 17" xfId="275" xr:uid="{00000000-0005-0000-0000-000027030000}"/>
    <cellStyle name="40% - Ênfase4 17 2" xfId="874" xr:uid="{00000000-0005-0000-0000-000028030000}"/>
    <cellStyle name="40% - Ênfase4 18" xfId="289" xr:uid="{00000000-0005-0000-0000-000029030000}"/>
    <cellStyle name="40% - Ênfase4 18 2" xfId="888" xr:uid="{00000000-0005-0000-0000-00002A030000}"/>
    <cellStyle name="40% - Ênfase4 19" xfId="303" xr:uid="{00000000-0005-0000-0000-00002B030000}"/>
    <cellStyle name="40% - Ênfase4 19 2" xfId="902" xr:uid="{00000000-0005-0000-0000-00002C030000}"/>
    <cellStyle name="40% - Ênfase4 2" xfId="65" xr:uid="{00000000-0005-0000-0000-00002D030000}"/>
    <cellStyle name="40% - Ênfase4 2 2" xfId="678" xr:uid="{00000000-0005-0000-0000-00002E030000}"/>
    <cellStyle name="40% - Ênfase4 20" xfId="317" xr:uid="{00000000-0005-0000-0000-00002F030000}"/>
    <cellStyle name="40% - Ênfase4 20 2" xfId="916" xr:uid="{00000000-0005-0000-0000-000030030000}"/>
    <cellStyle name="40% - Ênfase4 21" xfId="331" xr:uid="{00000000-0005-0000-0000-000031030000}"/>
    <cellStyle name="40% - Ênfase4 21 2" xfId="930" xr:uid="{00000000-0005-0000-0000-000032030000}"/>
    <cellStyle name="40% - Ênfase4 22" xfId="345" xr:uid="{00000000-0005-0000-0000-000033030000}"/>
    <cellStyle name="40% - Ênfase4 22 2" xfId="944" xr:uid="{00000000-0005-0000-0000-000034030000}"/>
    <cellStyle name="40% - Ênfase4 23" xfId="359" xr:uid="{00000000-0005-0000-0000-000035030000}"/>
    <cellStyle name="40% - Ênfase4 23 2" xfId="958" xr:uid="{00000000-0005-0000-0000-000036030000}"/>
    <cellStyle name="40% - Ênfase4 24" xfId="373" xr:uid="{00000000-0005-0000-0000-000037030000}"/>
    <cellStyle name="40% - Ênfase4 24 2" xfId="972" xr:uid="{00000000-0005-0000-0000-000038030000}"/>
    <cellStyle name="40% - Ênfase4 25" xfId="387" xr:uid="{00000000-0005-0000-0000-000039030000}"/>
    <cellStyle name="40% - Ênfase4 25 2" xfId="986" xr:uid="{00000000-0005-0000-0000-00003A030000}"/>
    <cellStyle name="40% - Ênfase4 26" xfId="401" xr:uid="{00000000-0005-0000-0000-00003B030000}"/>
    <cellStyle name="40% - Ênfase4 26 2" xfId="1000" xr:uid="{00000000-0005-0000-0000-00003C030000}"/>
    <cellStyle name="40% - Ênfase4 27" xfId="415" xr:uid="{00000000-0005-0000-0000-00003D030000}"/>
    <cellStyle name="40% - Ênfase4 27 2" xfId="1014" xr:uid="{00000000-0005-0000-0000-00003E030000}"/>
    <cellStyle name="40% - Ênfase4 28" xfId="429" xr:uid="{00000000-0005-0000-0000-00003F030000}"/>
    <cellStyle name="40% - Ênfase4 28 2" xfId="1028" xr:uid="{00000000-0005-0000-0000-000040030000}"/>
    <cellStyle name="40% - Ênfase4 29" xfId="443" xr:uid="{00000000-0005-0000-0000-000041030000}"/>
    <cellStyle name="40% - Ênfase4 29 2" xfId="1042" xr:uid="{00000000-0005-0000-0000-000042030000}"/>
    <cellStyle name="40% - Ênfase4 3" xfId="79" xr:uid="{00000000-0005-0000-0000-000043030000}"/>
    <cellStyle name="40% - Ênfase4 3 2" xfId="692" xr:uid="{00000000-0005-0000-0000-000044030000}"/>
    <cellStyle name="40% - Ênfase4 30" xfId="457" xr:uid="{00000000-0005-0000-0000-000045030000}"/>
    <cellStyle name="40% - Ênfase4 30 2" xfId="1056" xr:uid="{00000000-0005-0000-0000-000046030000}"/>
    <cellStyle name="40% - Ênfase4 31" xfId="471" xr:uid="{00000000-0005-0000-0000-000047030000}"/>
    <cellStyle name="40% - Ênfase4 31 2" xfId="1070" xr:uid="{00000000-0005-0000-0000-000048030000}"/>
    <cellStyle name="40% - Ênfase4 32" xfId="485" xr:uid="{00000000-0005-0000-0000-000049030000}"/>
    <cellStyle name="40% - Ênfase4 32 2" xfId="1084" xr:uid="{00000000-0005-0000-0000-00004A030000}"/>
    <cellStyle name="40% - Ênfase4 33" xfId="499" xr:uid="{00000000-0005-0000-0000-00004B030000}"/>
    <cellStyle name="40% - Ênfase4 33 2" xfId="1098" xr:uid="{00000000-0005-0000-0000-00004C030000}"/>
    <cellStyle name="40% - Ênfase4 34" xfId="513" xr:uid="{00000000-0005-0000-0000-00004D030000}"/>
    <cellStyle name="40% - Ênfase4 34 2" xfId="1112" xr:uid="{00000000-0005-0000-0000-00004E030000}"/>
    <cellStyle name="40% - Ênfase4 35" xfId="527" xr:uid="{00000000-0005-0000-0000-00004F030000}"/>
    <cellStyle name="40% - Ênfase4 35 2" xfId="1126" xr:uid="{00000000-0005-0000-0000-000050030000}"/>
    <cellStyle name="40% - Ênfase4 36" xfId="541" xr:uid="{00000000-0005-0000-0000-000051030000}"/>
    <cellStyle name="40% - Ênfase4 36 2" xfId="1140" xr:uid="{00000000-0005-0000-0000-000052030000}"/>
    <cellStyle name="40% - Ênfase4 37" xfId="555" xr:uid="{00000000-0005-0000-0000-000053030000}"/>
    <cellStyle name="40% - Ênfase4 37 2" xfId="1154" xr:uid="{00000000-0005-0000-0000-000054030000}"/>
    <cellStyle name="40% - Ênfase4 38" xfId="569" xr:uid="{00000000-0005-0000-0000-000055030000}"/>
    <cellStyle name="40% - Ênfase4 38 2" xfId="1168" xr:uid="{00000000-0005-0000-0000-000056030000}"/>
    <cellStyle name="40% - Ênfase4 39" xfId="583" xr:uid="{00000000-0005-0000-0000-000057030000}"/>
    <cellStyle name="40% - Ênfase4 39 2" xfId="1182" xr:uid="{00000000-0005-0000-0000-000058030000}"/>
    <cellStyle name="40% - Ênfase4 4" xfId="93" xr:uid="{00000000-0005-0000-0000-000059030000}"/>
    <cellStyle name="40% - Ênfase4 4 2" xfId="706" xr:uid="{00000000-0005-0000-0000-00005A030000}"/>
    <cellStyle name="40% - Ênfase4 40" xfId="597" xr:uid="{00000000-0005-0000-0000-00005B030000}"/>
    <cellStyle name="40% - Ênfase4 40 2" xfId="1196" xr:uid="{00000000-0005-0000-0000-00005C030000}"/>
    <cellStyle name="40% - Ênfase4 41" xfId="611" xr:uid="{00000000-0005-0000-0000-00005D030000}"/>
    <cellStyle name="40% - Ênfase4 41 2" xfId="1210" xr:uid="{00000000-0005-0000-0000-00005E030000}"/>
    <cellStyle name="40% - Ênfase4 42" xfId="625" xr:uid="{00000000-0005-0000-0000-00005F030000}"/>
    <cellStyle name="40% - Ênfase4 42 2" xfId="1224" xr:uid="{00000000-0005-0000-0000-000060030000}"/>
    <cellStyle name="40% - Ênfase4 43" xfId="639" xr:uid="{00000000-0005-0000-0000-000061030000}"/>
    <cellStyle name="40% - Ênfase4 43 2" xfId="1238" xr:uid="{00000000-0005-0000-0000-000062030000}"/>
    <cellStyle name="40% - Ênfase4 44" xfId="653" xr:uid="{00000000-0005-0000-0000-000063030000}"/>
    <cellStyle name="40% - Ênfase4 45" xfId="1252" xr:uid="{00000000-0005-0000-0000-000064030000}"/>
    <cellStyle name="40% - Ênfase4 46" xfId="1266" xr:uid="{00000000-0005-0000-0000-000065030000}"/>
    <cellStyle name="40% - Ênfase4 47" xfId="1280" xr:uid="{00000000-0005-0000-0000-000066030000}"/>
    <cellStyle name="40% - Ênfase4 5" xfId="107" xr:uid="{00000000-0005-0000-0000-000067030000}"/>
    <cellStyle name="40% - Ênfase4 5 2" xfId="720" xr:uid="{00000000-0005-0000-0000-000068030000}"/>
    <cellStyle name="40% - Ênfase4 6" xfId="121" xr:uid="{00000000-0005-0000-0000-000069030000}"/>
    <cellStyle name="40% - Ênfase4 6 2" xfId="734" xr:uid="{00000000-0005-0000-0000-00006A030000}"/>
    <cellStyle name="40% - Ênfase4 7" xfId="135" xr:uid="{00000000-0005-0000-0000-00006B030000}"/>
    <cellStyle name="40% - Ênfase4 7 2" xfId="748" xr:uid="{00000000-0005-0000-0000-00006C030000}"/>
    <cellStyle name="40% - Ênfase4 8" xfId="149" xr:uid="{00000000-0005-0000-0000-00006D030000}"/>
    <cellStyle name="40% - Ênfase4 8 2" xfId="762" xr:uid="{00000000-0005-0000-0000-00006E030000}"/>
    <cellStyle name="40% - Ênfase4 9" xfId="163" xr:uid="{00000000-0005-0000-0000-00006F030000}"/>
    <cellStyle name="40% - Ênfase5" xfId="36" builtinId="47" customBuiltin="1"/>
    <cellStyle name="40% - Ênfase5 10" xfId="179" xr:uid="{00000000-0005-0000-0000-000071030000}"/>
    <cellStyle name="40% - Ênfase5 10 2" xfId="778" xr:uid="{00000000-0005-0000-0000-000072030000}"/>
    <cellStyle name="40% - Ênfase5 11" xfId="193" xr:uid="{00000000-0005-0000-0000-000073030000}"/>
    <cellStyle name="40% - Ênfase5 11 2" xfId="792" xr:uid="{00000000-0005-0000-0000-000074030000}"/>
    <cellStyle name="40% - Ênfase5 12" xfId="207" xr:uid="{00000000-0005-0000-0000-000075030000}"/>
    <cellStyle name="40% - Ênfase5 12 2" xfId="806" xr:uid="{00000000-0005-0000-0000-000076030000}"/>
    <cellStyle name="40% - Ênfase5 13" xfId="221" xr:uid="{00000000-0005-0000-0000-000077030000}"/>
    <cellStyle name="40% - Ênfase5 13 2" xfId="820" xr:uid="{00000000-0005-0000-0000-000078030000}"/>
    <cellStyle name="40% - Ênfase5 14" xfId="235" xr:uid="{00000000-0005-0000-0000-000079030000}"/>
    <cellStyle name="40% - Ênfase5 14 2" xfId="834" xr:uid="{00000000-0005-0000-0000-00007A030000}"/>
    <cellStyle name="40% - Ênfase5 15" xfId="249" xr:uid="{00000000-0005-0000-0000-00007B030000}"/>
    <cellStyle name="40% - Ênfase5 15 2" xfId="848" xr:uid="{00000000-0005-0000-0000-00007C030000}"/>
    <cellStyle name="40% - Ênfase5 16" xfId="263" xr:uid="{00000000-0005-0000-0000-00007D030000}"/>
    <cellStyle name="40% - Ênfase5 16 2" xfId="862" xr:uid="{00000000-0005-0000-0000-00007E030000}"/>
    <cellStyle name="40% - Ênfase5 17" xfId="277" xr:uid="{00000000-0005-0000-0000-00007F030000}"/>
    <cellStyle name="40% - Ênfase5 17 2" xfId="876" xr:uid="{00000000-0005-0000-0000-000080030000}"/>
    <cellStyle name="40% - Ênfase5 18" xfId="291" xr:uid="{00000000-0005-0000-0000-000081030000}"/>
    <cellStyle name="40% - Ênfase5 18 2" xfId="890" xr:uid="{00000000-0005-0000-0000-000082030000}"/>
    <cellStyle name="40% - Ênfase5 19" xfId="305" xr:uid="{00000000-0005-0000-0000-000083030000}"/>
    <cellStyle name="40% - Ênfase5 19 2" xfId="904" xr:uid="{00000000-0005-0000-0000-000084030000}"/>
    <cellStyle name="40% - Ênfase5 2" xfId="67" xr:uid="{00000000-0005-0000-0000-000085030000}"/>
    <cellStyle name="40% - Ênfase5 2 2" xfId="680" xr:uid="{00000000-0005-0000-0000-000086030000}"/>
    <cellStyle name="40% - Ênfase5 20" xfId="319" xr:uid="{00000000-0005-0000-0000-000087030000}"/>
    <cellStyle name="40% - Ênfase5 20 2" xfId="918" xr:uid="{00000000-0005-0000-0000-000088030000}"/>
    <cellStyle name="40% - Ênfase5 21" xfId="333" xr:uid="{00000000-0005-0000-0000-000089030000}"/>
    <cellStyle name="40% - Ênfase5 21 2" xfId="932" xr:uid="{00000000-0005-0000-0000-00008A030000}"/>
    <cellStyle name="40% - Ênfase5 22" xfId="347" xr:uid="{00000000-0005-0000-0000-00008B030000}"/>
    <cellStyle name="40% - Ênfase5 22 2" xfId="946" xr:uid="{00000000-0005-0000-0000-00008C030000}"/>
    <cellStyle name="40% - Ênfase5 23" xfId="361" xr:uid="{00000000-0005-0000-0000-00008D030000}"/>
    <cellStyle name="40% - Ênfase5 23 2" xfId="960" xr:uid="{00000000-0005-0000-0000-00008E030000}"/>
    <cellStyle name="40% - Ênfase5 24" xfId="375" xr:uid="{00000000-0005-0000-0000-00008F030000}"/>
    <cellStyle name="40% - Ênfase5 24 2" xfId="974" xr:uid="{00000000-0005-0000-0000-000090030000}"/>
    <cellStyle name="40% - Ênfase5 25" xfId="389" xr:uid="{00000000-0005-0000-0000-000091030000}"/>
    <cellStyle name="40% - Ênfase5 25 2" xfId="988" xr:uid="{00000000-0005-0000-0000-000092030000}"/>
    <cellStyle name="40% - Ênfase5 26" xfId="403" xr:uid="{00000000-0005-0000-0000-000093030000}"/>
    <cellStyle name="40% - Ênfase5 26 2" xfId="1002" xr:uid="{00000000-0005-0000-0000-000094030000}"/>
    <cellStyle name="40% - Ênfase5 27" xfId="417" xr:uid="{00000000-0005-0000-0000-000095030000}"/>
    <cellStyle name="40% - Ênfase5 27 2" xfId="1016" xr:uid="{00000000-0005-0000-0000-000096030000}"/>
    <cellStyle name="40% - Ênfase5 28" xfId="431" xr:uid="{00000000-0005-0000-0000-000097030000}"/>
    <cellStyle name="40% - Ênfase5 28 2" xfId="1030" xr:uid="{00000000-0005-0000-0000-000098030000}"/>
    <cellStyle name="40% - Ênfase5 29" xfId="445" xr:uid="{00000000-0005-0000-0000-000099030000}"/>
    <cellStyle name="40% - Ênfase5 29 2" xfId="1044" xr:uid="{00000000-0005-0000-0000-00009A030000}"/>
    <cellStyle name="40% - Ênfase5 3" xfId="81" xr:uid="{00000000-0005-0000-0000-00009B030000}"/>
    <cellStyle name="40% - Ênfase5 3 2" xfId="694" xr:uid="{00000000-0005-0000-0000-00009C030000}"/>
    <cellStyle name="40% - Ênfase5 30" xfId="459" xr:uid="{00000000-0005-0000-0000-00009D030000}"/>
    <cellStyle name="40% - Ênfase5 30 2" xfId="1058" xr:uid="{00000000-0005-0000-0000-00009E030000}"/>
    <cellStyle name="40% - Ênfase5 31" xfId="473" xr:uid="{00000000-0005-0000-0000-00009F030000}"/>
    <cellStyle name="40% - Ênfase5 31 2" xfId="1072" xr:uid="{00000000-0005-0000-0000-0000A0030000}"/>
    <cellStyle name="40% - Ênfase5 32" xfId="487" xr:uid="{00000000-0005-0000-0000-0000A1030000}"/>
    <cellStyle name="40% - Ênfase5 32 2" xfId="1086" xr:uid="{00000000-0005-0000-0000-0000A2030000}"/>
    <cellStyle name="40% - Ênfase5 33" xfId="501" xr:uid="{00000000-0005-0000-0000-0000A3030000}"/>
    <cellStyle name="40% - Ênfase5 33 2" xfId="1100" xr:uid="{00000000-0005-0000-0000-0000A4030000}"/>
    <cellStyle name="40% - Ênfase5 34" xfId="515" xr:uid="{00000000-0005-0000-0000-0000A5030000}"/>
    <cellStyle name="40% - Ênfase5 34 2" xfId="1114" xr:uid="{00000000-0005-0000-0000-0000A6030000}"/>
    <cellStyle name="40% - Ênfase5 35" xfId="529" xr:uid="{00000000-0005-0000-0000-0000A7030000}"/>
    <cellStyle name="40% - Ênfase5 35 2" xfId="1128" xr:uid="{00000000-0005-0000-0000-0000A8030000}"/>
    <cellStyle name="40% - Ênfase5 36" xfId="543" xr:uid="{00000000-0005-0000-0000-0000A9030000}"/>
    <cellStyle name="40% - Ênfase5 36 2" xfId="1142" xr:uid="{00000000-0005-0000-0000-0000AA030000}"/>
    <cellStyle name="40% - Ênfase5 37" xfId="557" xr:uid="{00000000-0005-0000-0000-0000AB030000}"/>
    <cellStyle name="40% - Ênfase5 37 2" xfId="1156" xr:uid="{00000000-0005-0000-0000-0000AC030000}"/>
    <cellStyle name="40% - Ênfase5 38" xfId="571" xr:uid="{00000000-0005-0000-0000-0000AD030000}"/>
    <cellStyle name="40% - Ênfase5 38 2" xfId="1170" xr:uid="{00000000-0005-0000-0000-0000AE030000}"/>
    <cellStyle name="40% - Ênfase5 39" xfId="585" xr:uid="{00000000-0005-0000-0000-0000AF030000}"/>
    <cellStyle name="40% - Ênfase5 39 2" xfId="1184" xr:uid="{00000000-0005-0000-0000-0000B0030000}"/>
    <cellStyle name="40% - Ênfase5 4" xfId="95" xr:uid="{00000000-0005-0000-0000-0000B1030000}"/>
    <cellStyle name="40% - Ênfase5 4 2" xfId="708" xr:uid="{00000000-0005-0000-0000-0000B2030000}"/>
    <cellStyle name="40% - Ênfase5 40" xfId="599" xr:uid="{00000000-0005-0000-0000-0000B3030000}"/>
    <cellStyle name="40% - Ênfase5 40 2" xfId="1198" xr:uid="{00000000-0005-0000-0000-0000B4030000}"/>
    <cellStyle name="40% - Ênfase5 41" xfId="613" xr:uid="{00000000-0005-0000-0000-0000B5030000}"/>
    <cellStyle name="40% - Ênfase5 41 2" xfId="1212" xr:uid="{00000000-0005-0000-0000-0000B6030000}"/>
    <cellStyle name="40% - Ênfase5 42" xfId="627" xr:uid="{00000000-0005-0000-0000-0000B7030000}"/>
    <cellStyle name="40% - Ênfase5 42 2" xfId="1226" xr:uid="{00000000-0005-0000-0000-0000B8030000}"/>
    <cellStyle name="40% - Ênfase5 43" xfId="641" xr:uid="{00000000-0005-0000-0000-0000B9030000}"/>
    <cellStyle name="40% - Ênfase5 43 2" xfId="1240" xr:uid="{00000000-0005-0000-0000-0000BA030000}"/>
    <cellStyle name="40% - Ênfase5 44" xfId="655" xr:uid="{00000000-0005-0000-0000-0000BB030000}"/>
    <cellStyle name="40% - Ênfase5 45" xfId="1254" xr:uid="{00000000-0005-0000-0000-0000BC030000}"/>
    <cellStyle name="40% - Ênfase5 46" xfId="1268" xr:uid="{00000000-0005-0000-0000-0000BD030000}"/>
    <cellStyle name="40% - Ênfase5 47" xfId="1282" xr:uid="{00000000-0005-0000-0000-0000BE030000}"/>
    <cellStyle name="40% - Ênfase5 5" xfId="109" xr:uid="{00000000-0005-0000-0000-0000BF030000}"/>
    <cellStyle name="40% - Ênfase5 5 2" xfId="722" xr:uid="{00000000-0005-0000-0000-0000C0030000}"/>
    <cellStyle name="40% - Ênfase5 6" xfId="123" xr:uid="{00000000-0005-0000-0000-0000C1030000}"/>
    <cellStyle name="40% - Ênfase5 6 2" xfId="736" xr:uid="{00000000-0005-0000-0000-0000C2030000}"/>
    <cellStyle name="40% - Ênfase5 7" xfId="137" xr:uid="{00000000-0005-0000-0000-0000C3030000}"/>
    <cellStyle name="40% - Ênfase5 7 2" xfId="750" xr:uid="{00000000-0005-0000-0000-0000C4030000}"/>
    <cellStyle name="40% - Ênfase5 8" xfId="151" xr:uid="{00000000-0005-0000-0000-0000C5030000}"/>
    <cellStyle name="40% - Ênfase5 8 2" xfId="764" xr:uid="{00000000-0005-0000-0000-0000C6030000}"/>
    <cellStyle name="40% - Ênfase5 9" xfId="165" xr:uid="{00000000-0005-0000-0000-0000C7030000}"/>
    <cellStyle name="40% - Ênfase6" xfId="40" builtinId="51" customBuiltin="1"/>
    <cellStyle name="40% - Ênfase6 10" xfId="181" xr:uid="{00000000-0005-0000-0000-0000C9030000}"/>
    <cellStyle name="40% - Ênfase6 10 2" xfId="780" xr:uid="{00000000-0005-0000-0000-0000CA030000}"/>
    <cellStyle name="40% - Ênfase6 11" xfId="195" xr:uid="{00000000-0005-0000-0000-0000CB030000}"/>
    <cellStyle name="40% - Ênfase6 11 2" xfId="794" xr:uid="{00000000-0005-0000-0000-0000CC030000}"/>
    <cellStyle name="40% - Ênfase6 12" xfId="209" xr:uid="{00000000-0005-0000-0000-0000CD030000}"/>
    <cellStyle name="40% - Ênfase6 12 2" xfId="808" xr:uid="{00000000-0005-0000-0000-0000CE030000}"/>
    <cellStyle name="40% - Ênfase6 13" xfId="223" xr:uid="{00000000-0005-0000-0000-0000CF030000}"/>
    <cellStyle name="40% - Ênfase6 13 2" xfId="822" xr:uid="{00000000-0005-0000-0000-0000D0030000}"/>
    <cellStyle name="40% - Ênfase6 14" xfId="237" xr:uid="{00000000-0005-0000-0000-0000D1030000}"/>
    <cellStyle name="40% - Ênfase6 14 2" xfId="836" xr:uid="{00000000-0005-0000-0000-0000D2030000}"/>
    <cellStyle name="40% - Ênfase6 15" xfId="251" xr:uid="{00000000-0005-0000-0000-0000D3030000}"/>
    <cellStyle name="40% - Ênfase6 15 2" xfId="850" xr:uid="{00000000-0005-0000-0000-0000D4030000}"/>
    <cellStyle name="40% - Ênfase6 16" xfId="265" xr:uid="{00000000-0005-0000-0000-0000D5030000}"/>
    <cellStyle name="40% - Ênfase6 16 2" xfId="864" xr:uid="{00000000-0005-0000-0000-0000D6030000}"/>
    <cellStyle name="40% - Ênfase6 17" xfId="279" xr:uid="{00000000-0005-0000-0000-0000D7030000}"/>
    <cellStyle name="40% - Ênfase6 17 2" xfId="878" xr:uid="{00000000-0005-0000-0000-0000D8030000}"/>
    <cellStyle name="40% - Ênfase6 18" xfId="293" xr:uid="{00000000-0005-0000-0000-0000D9030000}"/>
    <cellStyle name="40% - Ênfase6 18 2" xfId="892" xr:uid="{00000000-0005-0000-0000-0000DA030000}"/>
    <cellStyle name="40% - Ênfase6 19" xfId="307" xr:uid="{00000000-0005-0000-0000-0000DB030000}"/>
    <cellStyle name="40% - Ênfase6 19 2" xfId="906" xr:uid="{00000000-0005-0000-0000-0000DC030000}"/>
    <cellStyle name="40% - Ênfase6 2" xfId="69" xr:uid="{00000000-0005-0000-0000-0000DD030000}"/>
    <cellStyle name="40% - Ênfase6 2 2" xfId="682" xr:uid="{00000000-0005-0000-0000-0000DE030000}"/>
    <cellStyle name="40% - Ênfase6 20" xfId="321" xr:uid="{00000000-0005-0000-0000-0000DF030000}"/>
    <cellStyle name="40% - Ênfase6 20 2" xfId="920" xr:uid="{00000000-0005-0000-0000-0000E0030000}"/>
    <cellStyle name="40% - Ênfase6 21" xfId="335" xr:uid="{00000000-0005-0000-0000-0000E1030000}"/>
    <cellStyle name="40% - Ênfase6 21 2" xfId="934" xr:uid="{00000000-0005-0000-0000-0000E2030000}"/>
    <cellStyle name="40% - Ênfase6 22" xfId="349" xr:uid="{00000000-0005-0000-0000-0000E3030000}"/>
    <cellStyle name="40% - Ênfase6 22 2" xfId="948" xr:uid="{00000000-0005-0000-0000-0000E4030000}"/>
    <cellStyle name="40% - Ênfase6 23" xfId="363" xr:uid="{00000000-0005-0000-0000-0000E5030000}"/>
    <cellStyle name="40% - Ênfase6 23 2" xfId="962" xr:uid="{00000000-0005-0000-0000-0000E6030000}"/>
    <cellStyle name="40% - Ênfase6 24" xfId="377" xr:uid="{00000000-0005-0000-0000-0000E7030000}"/>
    <cellStyle name="40% - Ênfase6 24 2" xfId="976" xr:uid="{00000000-0005-0000-0000-0000E8030000}"/>
    <cellStyle name="40% - Ênfase6 25" xfId="391" xr:uid="{00000000-0005-0000-0000-0000E9030000}"/>
    <cellStyle name="40% - Ênfase6 25 2" xfId="990" xr:uid="{00000000-0005-0000-0000-0000EA030000}"/>
    <cellStyle name="40% - Ênfase6 26" xfId="405" xr:uid="{00000000-0005-0000-0000-0000EB030000}"/>
    <cellStyle name="40% - Ênfase6 26 2" xfId="1004" xr:uid="{00000000-0005-0000-0000-0000EC030000}"/>
    <cellStyle name="40% - Ênfase6 27" xfId="419" xr:uid="{00000000-0005-0000-0000-0000ED030000}"/>
    <cellStyle name="40% - Ênfase6 27 2" xfId="1018" xr:uid="{00000000-0005-0000-0000-0000EE030000}"/>
    <cellStyle name="40% - Ênfase6 28" xfId="433" xr:uid="{00000000-0005-0000-0000-0000EF030000}"/>
    <cellStyle name="40% - Ênfase6 28 2" xfId="1032" xr:uid="{00000000-0005-0000-0000-0000F0030000}"/>
    <cellStyle name="40% - Ênfase6 29" xfId="447" xr:uid="{00000000-0005-0000-0000-0000F1030000}"/>
    <cellStyle name="40% - Ênfase6 29 2" xfId="1046" xr:uid="{00000000-0005-0000-0000-0000F2030000}"/>
    <cellStyle name="40% - Ênfase6 3" xfId="83" xr:uid="{00000000-0005-0000-0000-0000F3030000}"/>
    <cellStyle name="40% - Ênfase6 3 2" xfId="696" xr:uid="{00000000-0005-0000-0000-0000F4030000}"/>
    <cellStyle name="40% - Ênfase6 30" xfId="461" xr:uid="{00000000-0005-0000-0000-0000F5030000}"/>
    <cellStyle name="40% - Ênfase6 30 2" xfId="1060" xr:uid="{00000000-0005-0000-0000-0000F6030000}"/>
    <cellStyle name="40% - Ênfase6 31" xfId="475" xr:uid="{00000000-0005-0000-0000-0000F7030000}"/>
    <cellStyle name="40% - Ênfase6 31 2" xfId="1074" xr:uid="{00000000-0005-0000-0000-0000F8030000}"/>
    <cellStyle name="40% - Ênfase6 32" xfId="489" xr:uid="{00000000-0005-0000-0000-0000F9030000}"/>
    <cellStyle name="40% - Ênfase6 32 2" xfId="1088" xr:uid="{00000000-0005-0000-0000-0000FA030000}"/>
    <cellStyle name="40% - Ênfase6 33" xfId="503" xr:uid="{00000000-0005-0000-0000-0000FB030000}"/>
    <cellStyle name="40% - Ênfase6 33 2" xfId="1102" xr:uid="{00000000-0005-0000-0000-0000FC030000}"/>
    <cellStyle name="40% - Ênfase6 34" xfId="517" xr:uid="{00000000-0005-0000-0000-0000FD030000}"/>
    <cellStyle name="40% - Ênfase6 34 2" xfId="1116" xr:uid="{00000000-0005-0000-0000-0000FE030000}"/>
    <cellStyle name="40% - Ênfase6 35" xfId="531" xr:uid="{00000000-0005-0000-0000-0000FF030000}"/>
    <cellStyle name="40% - Ênfase6 35 2" xfId="1130" xr:uid="{00000000-0005-0000-0000-000000040000}"/>
    <cellStyle name="40% - Ênfase6 36" xfId="545" xr:uid="{00000000-0005-0000-0000-000001040000}"/>
    <cellStyle name="40% - Ênfase6 36 2" xfId="1144" xr:uid="{00000000-0005-0000-0000-000002040000}"/>
    <cellStyle name="40% - Ênfase6 37" xfId="559" xr:uid="{00000000-0005-0000-0000-000003040000}"/>
    <cellStyle name="40% - Ênfase6 37 2" xfId="1158" xr:uid="{00000000-0005-0000-0000-000004040000}"/>
    <cellStyle name="40% - Ênfase6 38" xfId="573" xr:uid="{00000000-0005-0000-0000-000005040000}"/>
    <cellStyle name="40% - Ênfase6 38 2" xfId="1172" xr:uid="{00000000-0005-0000-0000-000006040000}"/>
    <cellStyle name="40% - Ênfase6 39" xfId="587" xr:uid="{00000000-0005-0000-0000-000007040000}"/>
    <cellStyle name="40% - Ênfase6 39 2" xfId="1186" xr:uid="{00000000-0005-0000-0000-000008040000}"/>
    <cellStyle name="40% - Ênfase6 4" xfId="97" xr:uid="{00000000-0005-0000-0000-000009040000}"/>
    <cellStyle name="40% - Ênfase6 4 2" xfId="710" xr:uid="{00000000-0005-0000-0000-00000A040000}"/>
    <cellStyle name="40% - Ênfase6 40" xfId="601" xr:uid="{00000000-0005-0000-0000-00000B040000}"/>
    <cellStyle name="40% - Ênfase6 40 2" xfId="1200" xr:uid="{00000000-0005-0000-0000-00000C040000}"/>
    <cellStyle name="40% - Ênfase6 41" xfId="615" xr:uid="{00000000-0005-0000-0000-00000D040000}"/>
    <cellStyle name="40% - Ênfase6 41 2" xfId="1214" xr:uid="{00000000-0005-0000-0000-00000E040000}"/>
    <cellStyle name="40% - Ênfase6 42" xfId="629" xr:uid="{00000000-0005-0000-0000-00000F040000}"/>
    <cellStyle name="40% - Ênfase6 42 2" xfId="1228" xr:uid="{00000000-0005-0000-0000-000010040000}"/>
    <cellStyle name="40% - Ênfase6 43" xfId="643" xr:uid="{00000000-0005-0000-0000-000011040000}"/>
    <cellStyle name="40% - Ênfase6 43 2" xfId="1242" xr:uid="{00000000-0005-0000-0000-000012040000}"/>
    <cellStyle name="40% - Ênfase6 44" xfId="657" xr:uid="{00000000-0005-0000-0000-000013040000}"/>
    <cellStyle name="40% - Ênfase6 45" xfId="1256" xr:uid="{00000000-0005-0000-0000-000014040000}"/>
    <cellStyle name="40% - Ênfase6 46" xfId="1270" xr:uid="{00000000-0005-0000-0000-000015040000}"/>
    <cellStyle name="40% - Ênfase6 47" xfId="1284" xr:uid="{00000000-0005-0000-0000-000016040000}"/>
    <cellStyle name="40% - Ênfase6 5" xfId="111" xr:uid="{00000000-0005-0000-0000-000017040000}"/>
    <cellStyle name="40% - Ênfase6 5 2" xfId="724" xr:uid="{00000000-0005-0000-0000-000018040000}"/>
    <cellStyle name="40% - Ênfase6 6" xfId="125" xr:uid="{00000000-0005-0000-0000-000019040000}"/>
    <cellStyle name="40% - Ênfase6 6 2" xfId="738" xr:uid="{00000000-0005-0000-0000-00001A040000}"/>
    <cellStyle name="40% - Ênfase6 7" xfId="139" xr:uid="{00000000-0005-0000-0000-00001B040000}"/>
    <cellStyle name="40% - Ênfase6 7 2" xfId="752" xr:uid="{00000000-0005-0000-0000-00001C040000}"/>
    <cellStyle name="40% - Ênfase6 8" xfId="153" xr:uid="{00000000-0005-0000-0000-00001D040000}"/>
    <cellStyle name="40% - Ênfase6 8 2" xfId="766" xr:uid="{00000000-0005-0000-0000-00001E040000}"/>
    <cellStyle name="40% - Ênfase6 9" xfId="167" xr:uid="{00000000-0005-0000-0000-00001F040000}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 2" xfId="43" xr:uid="{00000000-0005-0000-0000-000032040000}"/>
    <cellStyle name="Moeda 2 2" xfId="49" xr:uid="{00000000-0005-0000-0000-000033040000}"/>
    <cellStyle name="Moeda 2 2 2" xfId="663" xr:uid="{00000000-0005-0000-0000-000034040000}"/>
    <cellStyle name="Moeda 2 3" xfId="50" xr:uid="{00000000-0005-0000-0000-000035040000}"/>
    <cellStyle name="Moeda 2 3 2" xfId="664" xr:uid="{00000000-0005-0000-0000-000036040000}"/>
    <cellStyle name="Moeda 2 4" xfId="659" xr:uid="{00000000-0005-0000-0000-000037040000}"/>
    <cellStyle name="Moeda 3" xfId="658" xr:uid="{00000000-0005-0000-0000-000038040000}"/>
    <cellStyle name="Neutro" xfId="8" builtinId="28" customBuiltin="1"/>
    <cellStyle name="Normal" xfId="0" builtinId="0"/>
    <cellStyle name="Normal 10" xfId="126" xr:uid="{00000000-0005-0000-0000-00003B040000}"/>
    <cellStyle name="Normal 10 2" xfId="739" xr:uid="{00000000-0005-0000-0000-00003C040000}"/>
    <cellStyle name="Normal 11" xfId="140" xr:uid="{00000000-0005-0000-0000-00003D040000}"/>
    <cellStyle name="Normal 11 2" xfId="753" xr:uid="{00000000-0005-0000-0000-00003E040000}"/>
    <cellStyle name="Normal 12" xfId="154" xr:uid="{00000000-0005-0000-0000-00003F040000}"/>
    <cellStyle name="Normal 13" xfId="168" xr:uid="{00000000-0005-0000-0000-000040040000}"/>
    <cellStyle name="Normal 13 2" xfId="767" xr:uid="{00000000-0005-0000-0000-000041040000}"/>
    <cellStyle name="Normal 14" xfId="182" xr:uid="{00000000-0005-0000-0000-000042040000}"/>
    <cellStyle name="Normal 14 2" xfId="781" xr:uid="{00000000-0005-0000-0000-000043040000}"/>
    <cellStyle name="Normal 15" xfId="196" xr:uid="{00000000-0005-0000-0000-000044040000}"/>
    <cellStyle name="Normal 15 2" xfId="795" xr:uid="{00000000-0005-0000-0000-000045040000}"/>
    <cellStyle name="Normal 16" xfId="210" xr:uid="{00000000-0005-0000-0000-000046040000}"/>
    <cellStyle name="Normal 16 2" xfId="809" xr:uid="{00000000-0005-0000-0000-000047040000}"/>
    <cellStyle name="Normal 17" xfId="224" xr:uid="{00000000-0005-0000-0000-000048040000}"/>
    <cellStyle name="Normal 17 2" xfId="823" xr:uid="{00000000-0005-0000-0000-000049040000}"/>
    <cellStyle name="Normal 18" xfId="238" xr:uid="{00000000-0005-0000-0000-00004A040000}"/>
    <cellStyle name="Normal 18 2" xfId="837" xr:uid="{00000000-0005-0000-0000-00004B040000}"/>
    <cellStyle name="Normal 19" xfId="252" xr:uid="{00000000-0005-0000-0000-00004C040000}"/>
    <cellStyle name="Normal 19 2" xfId="851" xr:uid="{00000000-0005-0000-0000-00004D040000}"/>
    <cellStyle name="Normal 2" xfId="44" xr:uid="{00000000-0005-0000-0000-00004E040000}"/>
    <cellStyle name="Normal 20" xfId="266" xr:uid="{00000000-0005-0000-0000-00004F040000}"/>
    <cellStyle name="Normal 20 2" xfId="865" xr:uid="{00000000-0005-0000-0000-000050040000}"/>
    <cellStyle name="Normal 21" xfId="280" xr:uid="{00000000-0005-0000-0000-000051040000}"/>
    <cellStyle name="Normal 21 2" xfId="879" xr:uid="{00000000-0005-0000-0000-000052040000}"/>
    <cellStyle name="Normal 22" xfId="294" xr:uid="{00000000-0005-0000-0000-000053040000}"/>
    <cellStyle name="Normal 22 2" xfId="893" xr:uid="{00000000-0005-0000-0000-000054040000}"/>
    <cellStyle name="Normal 23" xfId="308" xr:uid="{00000000-0005-0000-0000-000055040000}"/>
    <cellStyle name="Normal 23 2" xfId="907" xr:uid="{00000000-0005-0000-0000-000056040000}"/>
    <cellStyle name="Normal 24" xfId="322" xr:uid="{00000000-0005-0000-0000-000057040000}"/>
    <cellStyle name="Normal 24 2" xfId="921" xr:uid="{00000000-0005-0000-0000-000058040000}"/>
    <cellStyle name="Normal 25" xfId="336" xr:uid="{00000000-0005-0000-0000-000059040000}"/>
    <cellStyle name="Normal 25 2" xfId="935" xr:uid="{00000000-0005-0000-0000-00005A040000}"/>
    <cellStyle name="Normal 26" xfId="350" xr:uid="{00000000-0005-0000-0000-00005B040000}"/>
    <cellStyle name="Normal 26 2" xfId="949" xr:uid="{00000000-0005-0000-0000-00005C040000}"/>
    <cellStyle name="Normal 27" xfId="364" xr:uid="{00000000-0005-0000-0000-00005D040000}"/>
    <cellStyle name="Normal 27 2" xfId="963" xr:uid="{00000000-0005-0000-0000-00005E040000}"/>
    <cellStyle name="Normal 28" xfId="378" xr:uid="{00000000-0005-0000-0000-00005F040000}"/>
    <cellStyle name="Normal 28 2" xfId="977" xr:uid="{00000000-0005-0000-0000-000060040000}"/>
    <cellStyle name="Normal 29" xfId="392" xr:uid="{00000000-0005-0000-0000-000061040000}"/>
    <cellStyle name="Normal 29 2" xfId="991" xr:uid="{00000000-0005-0000-0000-000062040000}"/>
    <cellStyle name="Normal 3" xfId="55" xr:uid="{00000000-0005-0000-0000-000063040000}"/>
    <cellStyle name="Normal 3 2" xfId="668" xr:uid="{00000000-0005-0000-0000-000064040000}"/>
    <cellStyle name="Normal 30" xfId="406" xr:uid="{00000000-0005-0000-0000-000065040000}"/>
    <cellStyle name="Normal 30 2" xfId="1005" xr:uid="{00000000-0005-0000-0000-000066040000}"/>
    <cellStyle name="Normal 31" xfId="420" xr:uid="{00000000-0005-0000-0000-000067040000}"/>
    <cellStyle name="Normal 31 2" xfId="1019" xr:uid="{00000000-0005-0000-0000-000068040000}"/>
    <cellStyle name="Normal 32" xfId="434" xr:uid="{00000000-0005-0000-0000-000069040000}"/>
    <cellStyle name="Normal 32 2" xfId="1033" xr:uid="{00000000-0005-0000-0000-00006A040000}"/>
    <cellStyle name="Normal 33" xfId="448" xr:uid="{00000000-0005-0000-0000-00006B040000}"/>
    <cellStyle name="Normal 33 2" xfId="1047" xr:uid="{00000000-0005-0000-0000-00006C040000}"/>
    <cellStyle name="Normal 34" xfId="462" xr:uid="{00000000-0005-0000-0000-00006D040000}"/>
    <cellStyle name="Normal 34 2" xfId="1061" xr:uid="{00000000-0005-0000-0000-00006E040000}"/>
    <cellStyle name="Normal 35" xfId="476" xr:uid="{00000000-0005-0000-0000-00006F040000}"/>
    <cellStyle name="Normal 35 2" xfId="1075" xr:uid="{00000000-0005-0000-0000-000070040000}"/>
    <cellStyle name="Normal 36" xfId="490" xr:uid="{00000000-0005-0000-0000-000071040000}"/>
    <cellStyle name="Normal 36 2" xfId="1089" xr:uid="{00000000-0005-0000-0000-000072040000}"/>
    <cellStyle name="Normal 37" xfId="504" xr:uid="{00000000-0005-0000-0000-000073040000}"/>
    <cellStyle name="Normal 37 2" xfId="1103" xr:uid="{00000000-0005-0000-0000-000074040000}"/>
    <cellStyle name="Normal 38" xfId="518" xr:uid="{00000000-0005-0000-0000-000075040000}"/>
    <cellStyle name="Normal 38 2" xfId="1117" xr:uid="{00000000-0005-0000-0000-000076040000}"/>
    <cellStyle name="Normal 39" xfId="532" xr:uid="{00000000-0005-0000-0000-000077040000}"/>
    <cellStyle name="Normal 39 2" xfId="1131" xr:uid="{00000000-0005-0000-0000-000078040000}"/>
    <cellStyle name="Normal 4" xfId="45" xr:uid="{00000000-0005-0000-0000-000079040000}"/>
    <cellStyle name="Normal 4 2" xfId="48" xr:uid="{00000000-0005-0000-0000-00007A040000}"/>
    <cellStyle name="Normal 40" xfId="546" xr:uid="{00000000-0005-0000-0000-00007B040000}"/>
    <cellStyle name="Normal 40 2" xfId="1145" xr:uid="{00000000-0005-0000-0000-00007C040000}"/>
    <cellStyle name="Normal 41" xfId="560" xr:uid="{00000000-0005-0000-0000-00007D040000}"/>
    <cellStyle name="Normal 41 2" xfId="1159" xr:uid="{00000000-0005-0000-0000-00007E040000}"/>
    <cellStyle name="Normal 42" xfId="574" xr:uid="{00000000-0005-0000-0000-00007F040000}"/>
    <cellStyle name="Normal 42 2" xfId="1173" xr:uid="{00000000-0005-0000-0000-000080040000}"/>
    <cellStyle name="Normal 43" xfId="588" xr:uid="{00000000-0005-0000-0000-000081040000}"/>
    <cellStyle name="Normal 43 2" xfId="1187" xr:uid="{00000000-0005-0000-0000-000082040000}"/>
    <cellStyle name="Normal 44" xfId="602" xr:uid="{00000000-0005-0000-0000-000083040000}"/>
    <cellStyle name="Normal 44 2" xfId="1201" xr:uid="{00000000-0005-0000-0000-000084040000}"/>
    <cellStyle name="Normal 45" xfId="616" xr:uid="{00000000-0005-0000-0000-000085040000}"/>
    <cellStyle name="Normal 45 2" xfId="1215" xr:uid="{00000000-0005-0000-0000-000086040000}"/>
    <cellStyle name="Normal 46" xfId="630" xr:uid="{00000000-0005-0000-0000-000087040000}"/>
    <cellStyle name="Normal 46 2" xfId="1229" xr:uid="{00000000-0005-0000-0000-000088040000}"/>
    <cellStyle name="Normal 47" xfId="644" xr:uid="{00000000-0005-0000-0000-000089040000}"/>
    <cellStyle name="Normal 48" xfId="1243" xr:uid="{00000000-0005-0000-0000-00008A040000}"/>
    <cellStyle name="Normal 49" xfId="1257" xr:uid="{00000000-0005-0000-0000-00008B040000}"/>
    <cellStyle name="Normal 5" xfId="56" xr:uid="{00000000-0005-0000-0000-00008C040000}"/>
    <cellStyle name="Normal 5 2" xfId="669" xr:uid="{00000000-0005-0000-0000-00008D040000}"/>
    <cellStyle name="Normal 50" xfId="1271" xr:uid="{00000000-0005-0000-0000-00008E040000}"/>
    <cellStyle name="Normal 51" xfId="42" xr:uid="{00000000-0005-0000-0000-00008F040000}"/>
    <cellStyle name="Normal 6" xfId="70" xr:uid="{00000000-0005-0000-0000-000090040000}"/>
    <cellStyle name="Normal 6 2" xfId="683" xr:uid="{00000000-0005-0000-0000-000091040000}"/>
    <cellStyle name="Normal 7" xfId="84" xr:uid="{00000000-0005-0000-0000-000092040000}"/>
    <cellStyle name="Normal 7 2" xfId="697" xr:uid="{00000000-0005-0000-0000-000093040000}"/>
    <cellStyle name="Normal 8" xfId="98" xr:uid="{00000000-0005-0000-0000-000094040000}"/>
    <cellStyle name="Normal 8 2" xfId="711" xr:uid="{00000000-0005-0000-0000-000095040000}"/>
    <cellStyle name="Normal 9" xfId="112" xr:uid="{00000000-0005-0000-0000-000096040000}"/>
    <cellStyle name="Normal 9 2" xfId="725" xr:uid="{00000000-0005-0000-0000-000097040000}"/>
    <cellStyle name="Nota" xfId="15" builtinId="10" customBuiltin="1"/>
    <cellStyle name="Nota 10" xfId="155" xr:uid="{00000000-0005-0000-0000-000099040000}"/>
    <cellStyle name="Nota 11" xfId="169" xr:uid="{00000000-0005-0000-0000-00009A040000}"/>
    <cellStyle name="Nota 11 2" xfId="768" xr:uid="{00000000-0005-0000-0000-00009B040000}"/>
    <cellStyle name="Nota 12" xfId="183" xr:uid="{00000000-0005-0000-0000-00009C040000}"/>
    <cellStyle name="Nota 12 2" xfId="782" xr:uid="{00000000-0005-0000-0000-00009D040000}"/>
    <cellStyle name="Nota 13" xfId="197" xr:uid="{00000000-0005-0000-0000-00009E040000}"/>
    <cellStyle name="Nota 13 2" xfId="796" xr:uid="{00000000-0005-0000-0000-00009F040000}"/>
    <cellStyle name="Nota 14" xfId="211" xr:uid="{00000000-0005-0000-0000-0000A0040000}"/>
    <cellStyle name="Nota 14 2" xfId="810" xr:uid="{00000000-0005-0000-0000-0000A1040000}"/>
    <cellStyle name="Nota 15" xfId="225" xr:uid="{00000000-0005-0000-0000-0000A2040000}"/>
    <cellStyle name="Nota 15 2" xfId="824" xr:uid="{00000000-0005-0000-0000-0000A3040000}"/>
    <cellStyle name="Nota 16" xfId="239" xr:uid="{00000000-0005-0000-0000-0000A4040000}"/>
    <cellStyle name="Nota 16 2" xfId="838" xr:uid="{00000000-0005-0000-0000-0000A5040000}"/>
    <cellStyle name="Nota 17" xfId="253" xr:uid="{00000000-0005-0000-0000-0000A6040000}"/>
    <cellStyle name="Nota 17 2" xfId="852" xr:uid="{00000000-0005-0000-0000-0000A7040000}"/>
    <cellStyle name="Nota 18" xfId="267" xr:uid="{00000000-0005-0000-0000-0000A8040000}"/>
    <cellStyle name="Nota 18 2" xfId="866" xr:uid="{00000000-0005-0000-0000-0000A9040000}"/>
    <cellStyle name="Nota 19" xfId="281" xr:uid="{00000000-0005-0000-0000-0000AA040000}"/>
    <cellStyle name="Nota 19 2" xfId="880" xr:uid="{00000000-0005-0000-0000-0000AB040000}"/>
    <cellStyle name="Nota 2" xfId="51" xr:uid="{00000000-0005-0000-0000-0000AC040000}"/>
    <cellStyle name="Nota 2 2" xfId="665" xr:uid="{00000000-0005-0000-0000-0000AD040000}"/>
    <cellStyle name="Nota 20" xfId="295" xr:uid="{00000000-0005-0000-0000-0000AE040000}"/>
    <cellStyle name="Nota 20 2" xfId="894" xr:uid="{00000000-0005-0000-0000-0000AF040000}"/>
    <cellStyle name="Nota 21" xfId="309" xr:uid="{00000000-0005-0000-0000-0000B0040000}"/>
    <cellStyle name="Nota 21 2" xfId="908" xr:uid="{00000000-0005-0000-0000-0000B1040000}"/>
    <cellStyle name="Nota 22" xfId="323" xr:uid="{00000000-0005-0000-0000-0000B2040000}"/>
    <cellStyle name="Nota 22 2" xfId="922" xr:uid="{00000000-0005-0000-0000-0000B3040000}"/>
    <cellStyle name="Nota 23" xfId="337" xr:uid="{00000000-0005-0000-0000-0000B4040000}"/>
    <cellStyle name="Nota 23 2" xfId="936" xr:uid="{00000000-0005-0000-0000-0000B5040000}"/>
    <cellStyle name="Nota 24" xfId="351" xr:uid="{00000000-0005-0000-0000-0000B6040000}"/>
    <cellStyle name="Nota 24 2" xfId="950" xr:uid="{00000000-0005-0000-0000-0000B7040000}"/>
    <cellStyle name="Nota 25" xfId="365" xr:uid="{00000000-0005-0000-0000-0000B8040000}"/>
    <cellStyle name="Nota 25 2" xfId="964" xr:uid="{00000000-0005-0000-0000-0000B9040000}"/>
    <cellStyle name="Nota 26" xfId="379" xr:uid="{00000000-0005-0000-0000-0000BA040000}"/>
    <cellStyle name="Nota 26 2" xfId="978" xr:uid="{00000000-0005-0000-0000-0000BB040000}"/>
    <cellStyle name="Nota 27" xfId="393" xr:uid="{00000000-0005-0000-0000-0000BC040000}"/>
    <cellStyle name="Nota 27 2" xfId="992" xr:uid="{00000000-0005-0000-0000-0000BD040000}"/>
    <cellStyle name="Nota 28" xfId="407" xr:uid="{00000000-0005-0000-0000-0000BE040000}"/>
    <cellStyle name="Nota 28 2" xfId="1006" xr:uid="{00000000-0005-0000-0000-0000BF040000}"/>
    <cellStyle name="Nota 29" xfId="421" xr:uid="{00000000-0005-0000-0000-0000C0040000}"/>
    <cellStyle name="Nota 29 2" xfId="1020" xr:uid="{00000000-0005-0000-0000-0000C1040000}"/>
    <cellStyle name="Nota 3" xfId="57" xr:uid="{00000000-0005-0000-0000-0000C2040000}"/>
    <cellStyle name="Nota 3 2" xfId="670" xr:uid="{00000000-0005-0000-0000-0000C3040000}"/>
    <cellStyle name="Nota 30" xfId="435" xr:uid="{00000000-0005-0000-0000-0000C4040000}"/>
    <cellStyle name="Nota 30 2" xfId="1034" xr:uid="{00000000-0005-0000-0000-0000C5040000}"/>
    <cellStyle name="Nota 31" xfId="449" xr:uid="{00000000-0005-0000-0000-0000C6040000}"/>
    <cellStyle name="Nota 31 2" xfId="1048" xr:uid="{00000000-0005-0000-0000-0000C7040000}"/>
    <cellStyle name="Nota 32" xfId="463" xr:uid="{00000000-0005-0000-0000-0000C8040000}"/>
    <cellStyle name="Nota 32 2" xfId="1062" xr:uid="{00000000-0005-0000-0000-0000C9040000}"/>
    <cellStyle name="Nota 33" xfId="477" xr:uid="{00000000-0005-0000-0000-0000CA040000}"/>
    <cellStyle name="Nota 33 2" xfId="1076" xr:uid="{00000000-0005-0000-0000-0000CB040000}"/>
    <cellStyle name="Nota 34" xfId="491" xr:uid="{00000000-0005-0000-0000-0000CC040000}"/>
    <cellStyle name="Nota 34 2" xfId="1090" xr:uid="{00000000-0005-0000-0000-0000CD040000}"/>
    <cellStyle name="Nota 35" xfId="505" xr:uid="{00000000-0005-0000-0000-0000CE040000}"/>
    <cellStyle name="Nota 35 2" xfId="1104" xr:uid="{00000000-0005-0000-0000-0000CF040000}"/>
    <cellStyle name="Nota 36" xfId="519" xr:uid="{00000000-0005-0000-0000-0000D0040000}"/>
    <cellStyle name="Nota 36 2" xfId="1118" xr:uid="{00000000-0005-0000-0000-0000D1040000}"/>
    <cellStyle name="Nota 37" xfId="533" xr:uid="{00000000-0005-0000-0000-0000D2040000}"/>
    <cellStyle name="Nota 37 2" xfId="1132" xr:uid="{00000000-0005-0000-0000-0000D3040000}"/>
    <cellStyle name="Nota 38" xfId="547" xr:uid="{00000000-0005-0000-0000-0000D4040000}"/>
    <cellStyle name="Nota 38 2" xfId="1146" xr:uid="{00000000-0005-0000-0000-0000D5040000}"/>
    <cellStyle name="Nota 39" xfId="561" xr:uid="{00000000-0005-0000-0000-0000D6040000}"/>
    <cellStyle name="Nota 39 2" xfId="1160" xr:uid="{00000000-0005-0000-0000-0000D7040000}"/>
    <cellStyle name="Nota 4" xfId="71" xr:uid="{00000000-0005-0000-0000-0000D8040000}"/>
    <cellStyle name="Nota 4 2" xfId="684" xr:uid="{00000000-0005-0000-0000-0000D9040000}"/>
    <cellStyle name="Nota 40" xfId="575" xr:uid="{00000000-0005-0000-0000-0000DA040000}"/>
    <cellStyle name="Nota 40 2" xfId="1174" xr:uid="{00000000-0005-0000-0000-0000DB040000}"/>
    <cellStyle name="Nota 41" xfId="589" xr:uid="{00000000-0005-0000-0000-0000DC040000}"/>
    <cellStyle name="Nota 41 2" xfId="1188" xr:uid="{00000000-0005-0000-0000-0000DD040000}"/>
    <cellStyle name="Nota 42" xfId="603" xr:uid="{00000000-0005-0000-0000-0000DE040000}"/>
    <cellStyle name="Nota 42 2" xfId="1202" xr:uid="{00000000-0005-0000-0000-0000DF040000}"/>
    <cellStyle name="Nota 43" xfId="617" xr:uid="{00000000-0005-0000-0000-0000E0040000}"/>
    <cellStyle name="Nota 43 2" xfId="1216" xr:uid="{00000000-0005-0000-0000-0000E1040000}"/>
    <cellStyle name="Nota 44" xfId="631" xr:uid="{00000000-0005-0000-0000-0000E2040000}"/>
    <cellStyle name="Nota 44 2" xfId="1230" xr:uid="{00000000-0005-0000-0000-0000E3040000}"/>
    <cellStyle name="Nota 45" xfId="645" xr:uid="{00000000-0005-0000-0000-0000E4040000}"/>
    <cellStyle name="Nota 46" xfId="1244" xr:uid="{00000000-0005-0000-0000-0000E5040000}"/>
    <cellStyle name="Nota 47" xfId="1258" xr:uid="{00000000-0005-0000-0000-0000E6040000}"/>
    <cellStyle name="Nota 48" xfId="1272" xr:uid="{00000000-0005-0000-0000-0000E7040000}"/>
    <cellStyle name="Nota 5" xfId="85" xr:uid="{00000000-0005-0000-0000-0000E8040000}"/>
    <cellStyle name="Nota 5 2" xfId="698" xr:uid="{00000000-0005-0000-0000-0000E9040000}"/>
    <cellStyle name="Nota 6" xfId="99" xr:uid="{00000000-0005-0000-0000-0000EA040000}"/>
    <cellStyle name="Nota 6 2" xfId="712" xr:uid="{00000000-0005-0000-0000-0000EB040000}"/>
    <cellStyle name="Nota 7" xfId="113" xr:uid="{00000000-0005-0000-0000-0000EC040000}"/>
    <cellStyle name="Nota 7 2" xfId="726" xr:uid="{00000000-0005-0000-0000-0000ED040000}"/>
    <cellStyle name="Nota 8" xfId="127" xr:uid="{00000000-0005-0000-0000-0000EE040000}"/>
    <cellStyle name="Nota 8 2" xfId="740" xr:uid="{00000000-0005-0000-0000-0000EF040000}"/>
    <cellStyle name="Nota 9" xfId="141" xr:uid="{00000000-0005-0000-0000-0000F0040000}"/>
    <cellStyle name="Nota 9 2" xfId="754" xr:uid="{00000000-0005-0000-0000-0000F1040000}"/>
    <cellStyle name="Porcentagem 2" xfId="47" xr:uid="{00000000-0005-0000-0000-0000F2040000}"/>
    <cellStyle name="Porcentagem 2 2" xfId="662" xr:uid="{00000000-0005-0000-0000-0000F3040000}"/>
    <cellStyle name="Porcentagem 3" xfId="52" xr:uid="{00000000-0005-0000-0000-0000F4040000}"/>
    <cellStyle name="Porcentagem 3 2" xfId="666" xr:uid="{00000000-0005-0000-0000-0000F5040000}"/>
    <cellStyle name="Porcentagem 4" xfId="660" xr:uid="{00000000-0005-0000-0000-0000F6040000}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ítulo 5" xfId="46" xr:uid="{00000000-0005-0000-0000-0000FF040000}"/>
    <cellStyle name="Título 5 2" xfId="54" xr:uid="{00000000-0005-0000-0000-000000050000}"/>
    <cellStyle name="Total" xfId="17" builtinId="25" customBuiltin="1"/>
    <cellStyle name="Vírgula 2" xfId="53" xr:uid="{00000000-0005-0000-0000-000002050000}"/>
    <cellStyle name="Vírgula 2 2" xfId="667" xr:uid="{00000000-0005-0000-0000-000003050000}"/>
    <cellStyle name="Vírgula 3" xfId="661" xr:uid="{00000000-0005-0000-0000-000004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AC124"/>
  <sheetViews>
    <sheetView tabSelected="1" topLeftCell="A29" workbookViewId="0">
      <selection activeCell="K41" sqref="K41"/>
    </sheetView>
  </sheetViews>
  <sheetFormatPr defaultRowHeight="14.45"/>
  <cols>
    <col min="1" max="1" width="10.5703125" customWidth="1"/>
    <col min="2" max="2" width="7.28515625" customWidth="1"/>
    <col min="3" max="4" width="10.28515625" customWidth="1"/>
    <col min="5" max="5" width="11.85546875" customWidth="1"/>
    <col min="6" max="6" width="9.5703125" customWidth="1"/>
    <col min="7" max="9" width="7.7109375" customWidth="1"/>
    <col min="10" max="10" width="8.85546875" customWidth="1"/>
    <col min="11" max="11" width="16.28515625" customWidth="1"/>
    <col min="12" max="12" width="6.140625" customWidth="1"/>
    <col min="13" max="13" width="6.28515625" customWidth="1"/>
    <col min="14" max="14" width="6.7109375" customWidth="1"/>
    <col min="15" max="15" width="7.28515625" customWidth="1"/>
    <col min="16" max="16" width="7.5703125" customWidth="1"/>
    <col min="17" max="17" width="7" customWidth="1"/>
    <col min="18" max="18" width="6.7109375" customWidth="1"/>
    <col min="19" max="19" width="7.42578125" customWidth="1"/>
    <col min="20" max="20" width="6.7109375" customWidth="1"/>
    <col min="21" max="21" width="6.5703125" customWidth="1"/>
    <col min="22" max="22" width="6" customWidth="1"/>
    <col min="23" max="23" width="5" customWidth="1"/>
    <col min="24" max="24" width="5.42578125" customWidth="1"/>
    <col min="25" max="25" width="5.7109375" customWidth="1"/>
    <col min="26" max="26" width="4.5703125" customWidth="1"/>
    <col min="27" max="27" width="5.28515625" customWidth="1"/>
    <col min="28" max="28" width="5.42578125" customWidth="1"/>
    <col min="29" max="29" width="6" customWidth="1"/>
    <col min="30" max="30" width="8.7109375" customWidth="1"/>
  </cols>
  <sheetData>
    <row r="3" spans="1:29" ht="15.6">
      <c r="A3" s="1"/>
      <c r="B3" s="1"/>
      <c r="C3" s="1"/>
      <c r="D3" s="1"/>
      <c r="E3" s="1"/>
      <c r="F3" s="1"/>
      <c r="G3" s="30" t="s">
        <v>0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1"/>
      <c r="W3" s="1"/>
      <c r="X3" s="1"/>
      <c r="Y3" s="31" t="s">
        <v>1</v>
      </c>
      <c r="Z3" s="31"/>
      <c r="AA3" s="31"/>
      <c r="AB3" s="2"/>
      <c r="AC3" s="1"/>
    </row>
    <row r="4" spans="1:29" ht="15.6">
      <c r="A4" s="1"/>
      <c r="B4" s="1"/>
      <c r="C4" s="1"/>
      <c r="D4" s="1"/>
      <c r="E4" s="1"/>
      <c r="F4" s="1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1"/>
      <c r="W4" s="1"/>
      <c r="X4" s="1"/>
      <c r="Y4" s="31"/>
      <c r="Z4" s="31"/>
      <c r="AA4" s="31"/>
      <c r="AB4" s="2"/>
      <c r="AC4" s="1"/>
    </row>
    <row r="5" spans="1:29">
      <c r="A5" s="1"/>
      <c r="B5" s="1"/>
      <c r="C5" s="1"/>
      <c r="D5" s="1"/>
      <c r="E5" s="1"/>
      <c r="F5" s="1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1"/>
      <c r="W5" s="1"/>
      <c r="X5" s="1"/>
      <c r="Y5" s="1"/>
      <c r="Z5" s="1"/>
      <c r="AA5" s="1"/>
      <c r="AB5" s="1"/>
      <c r="AC5" s="1"/>
    </row>
    <row r="6" spans="1:29">
      <c r="A6" s="32" t="s">
        <v>2</v>
      </c>
      <c r="B6" s="32"/>
      <c r="C6" s="32" t="s">
        <v>3</v>
      </c>
      <c r="D6" s="14"/>
      <c r="E6" s="32" t="s">
        <v>4</v>
      </c>
      <c r="F6" s="33">
        <v>0.6</v>
      </c>
      <c r="G6" s="33">
        <v>0.75</v>
      </c>
      <c r="H6" s="26"/>
      <c r="I6" s="26"/>
      <c r="J6" s="33">
        <v>0.9</v>
      </c>
      <c r="K6" s="33">
        <v>0.95</v>
      </c>
      <c r="L6" s="33">
        <v>1.06</v>
      </c>
      <c r="M6" s="33">
        <v>1.2</v>
      </c>
      <c r="N6" s="33">
        <v>1.25</v>
      </c>
      <c r="O6" s="33">
        <v>1.5</v>
      </c>
      <c r="P6" s="33">
        <v>1.55</v>
      </c>
      <c r="Q6" s="35">
        <v>1.8</v>
      </c>
      <c r="R6" s="35">
        <v>1.9</v>
      </c>
      <c r="S6" s="35">
        <v>1.95</v>
      </c>
      <c r="T6" s="35">
        <v>2</v>
      </c>
      <c r="U6" s="35">
        <v>2.25</v>
      </c>
      <c r="V6" s="35">
        <v>2.65</v>
      </c>
      <c r="W6" s="35">
        <v>3</v>
      </c>
      <c r="X6" s="34">
        <v>3.35</v>
      </c>
      <c r="Y6" s="34">
        <v>3.75</v>
      </c>
      <c r="Z6" s="34">
        <v>4</v>
      </c>
      <c r="AA6" s="34">
        <v>4.25</v>
      </c>
      <c r="AB6" s="34">
        <v>4.5</v>
      </c>
      <c r="AC6" s="34">
        <v>4.75</v>
      </c>
    </row>
    <row r="7" spans="1:29">
      <c r="A7" s="14" t="s">
        <v>5</v>
      </c>
      <c r="B7" s="14" t="s">
        <v>6</v>
      </c>
      <c r="C7" s="32"/>
      <c r="D7" s="14"/>
      <c r="E7" s="32"/>
      <c r="F7" s="33"/>
      <c r="G7" s="33"/>
      <c r="H7" s="26"/>
      <c r="I7" s="26"/>
      <c r="J7" s="33"/>
      <c r="K7" s="33"/>
      <c r="L7" s="33"/>
      <c r="M7" s="33"/>
      <c r="N7" s="33"/>
      <c r="O7" s="33"/>
      <c r="P7" s="33"/>
      <c r="Q7" s="35"/>
      <c r="R7" s="35"/>
      <c r="S7" s="35"/>
      <c r="T7" s="35"/>
      <c r="U7" s="35"/>
      <c r="V7" s="35"/>
      <c r="W7" s="35"/>
      <c r="X7" s="34"/>
      <c r="Y7" s="34"/>
      <c r="Z7" s="34"/>
      <c r="AA7" s="34"/>
      <c r="AB7" s="34"/>
      <c r="AC7" s="34"/>
    </row>
    <row r="8" spans="1:29">
      <c r="A8" s="3" t="s">
        <v>7</v>
      </c>
      <c r="B8" s="4">
        <v>12.7</v>
      </c>
      <c r="C8" s="3" t="s">
        <v>8</v>
      </c>
      <c r="D8" s="3"/>
      <c r="E8" s="3" t="s">
        <v>8</v>
      </c>
      <c r="F8" s="3">
        <v>41</v>
      </c>
      <c r="G8" s="3">
        <v>41</v>
      </c>
      <c r="H8" s="3"/>
      <c r="I8" s="3"/>
      <c r="J8" s="3">
        <v>41</v>
      </c>
      <c r="K8" s="3">
        <v>41</v>
      </c>
      <c r="L8" s="3">
        <v>40</v>
      </c>
      <c r="M8" s="3">
        <v>40</v>
      </c>
      <c r="N8" s="3">
        <v>40</v>
      </c>
      <c r="O8" s="3">
        <v>38</v>
      </c>
      <c r="P8" s="6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>
      <c r="A9" s="3" t="s">
        <v>9</v>
      </c>
      <c r="B9" s="4">
        <v>15.87</v>
      </c>
      <c r="C9" s="3" t="s">
        <v>8</v>
      </c>
      <c r="D9" s="3"/>
      <c r="E9" s="3" t="s">
        <v>8</v>
      </c>
      <c r="F9" s="3">
        <v>51</v>
      </c>
      <c r="G9" s="3">
        <v>51</v>
      </c>
      <c r="H9" s="3"/>
      <c r="I9" s="3"/>
      <c r="J9" s="3">
        <v>51</v>
      </c>
      <c r="K9" s="3">
        <v>51</v>
      </c>
      <c r="L9" s="3">
        <v>50</v>
      </c>
      <c r="M9" s="3">
        <v>50</v>
      </c>
      <c r="N9" s="3">
        <v>50</v>
      </c>
      <c r="O9" s="3">
        <v>48</v>
      </c>
      <c r="P9" s="6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>
      <c r="A10" s="3" t="s">
        <v>10</v>
      </c>
      <c r="B10" s="4">
        <v>19.05</v>
      </c>
      <c r="C10" s="3" t="s">
        <v>11</v>
      </c>
      <c r="D10" s="3"/>
      <c r="E10" s="3" t="s">
        <v>8</v>
      </c>
      <c r="F10" s="3">
        <v>61</v>
      </c>
      <c r="G10" s="3">
        <v>61</v>
      </c>
      <c r="H10" s="3"/>
      <c r="I10" s="3"/>
      <c r="J10" s="3">
        <v>61</v>
      </c>
      <c r="K10" s="3">
        <v>61</v>
      </c>
      <c r="L10" s="3">
        <v>60</v>
      </c>
      <c r="M10" s="3">
        <v>60</v>
      </c>
      <c r="N10" s="3">
        <v>60</v>
      </c>
      <c r="O10" s="3">
        <v>59</v>
      </c>
      <c r="P10" s="6">
        <v>59</v>
      </c>
      <c r="Q10" s="5">
        <v>57</v>
      </c>
      <c r="R10" s="5">
        <v>57</v>
      </c>
      <c r="S10" s="5">
        <v>57</v>
      </c>
      <c r="T10" s="5">
        <v>57</v>
      </c>
      <c r="U10" s="5"/>
      <c r="V10" s="5"/>
      <c r="W10" s="5"/>
      <c r="X10" s="5"/>
      <c r="Y10" s="5"/>
      <c r="Z10" s="5"/>
      <c r="AA10" s="5"/>
      <c r="AB10" s="5"/>
      <c r="AC10" s="5"/>
    </row>
    <row r="11" spans="1:29">
      <c r="A11" s="3" t="s">
        <v>12</v>
      </c>
      <c r="B11" s="4">
        <v>21.3</v>
      </c>
      <c r="C11" s="3" t="s">
        <v>8</v>
      </c>
      <c r="D11" s="3"/>
      <c r="E11" s="3" t="s">
        <v>8</v>
      </c>
      <c r="F11" s="3"/>
      <c r="G11" s="3"/>
      <c r="H11" s="3"/>
      <c r="I11" s="3"/>
      <c r="J11" s="3"/>
      <c r="K11" s="3"/>
      <c r="L11" s="3"/>
      <c r="M11" s="3"/>
      <c r="N11" s="3"/>
      <c r="O11" s="3">
        <v>65</v>
      </c>
      <c r="P11" s="6">
        <v>65</v>
      </c>
      <c r="Q11" s="5">
        <v>63</v>
      </c>
      <c r="R11" s="5">
        <v>63</v>
      </c>
      <c r="S11" s="5">
        <v>63</v>
      </c>
      <c r="T11" s="5">
        <v>63</v>
      </c>
      <c r="U11" s="5"/>
      <c r="V11" s="5"/>
      <c r="W11" s="5"/>
      <c r="X11" s="5"/>
      <c r="Y11" s="5"/>
      <c r="Z11" s="5"/>
      <c r="AA11" s="5"/>
      <c r="AB11" s="5"/>
      <c r="AC11" s="5"/>
    </row>
    <row r="12" spans="1:29">
      <c r="A12" s="3" t="s">
        <v>13</v>
      </c>
      <c r="B12" s="4">
        <v>22.22</v>
      </c>
      <c r="C12" s="3" t="s">
        <v>8</v>
      </c>
      <c r="D12" s="3"/>
      <c r="E12" s="3" t="s">
        <v>8</v>
      </c>
      <c r="F12" s="3">
        <v>70</v>
      </c>
      <c r="G12" s="3">
        <v>70</v>
      </c>
      <c r="H12" s="3"/>
      <c r="I12" s="3"/>
      <c r="J12" s="3">
        <v>70</v>
      </c>
      <c r="K12" s="3">
        <v>70</v>
      </c>
      <c r="L12" s="3">
        <v>69</v>
      </c>
      <c r="M12" s="3">
        <v>69</v>
      </c>
      <c r="N12" s="3">
        <v>69</v>
      </c>
      <c r="O12" s="3">
        <v>69</v>
      </c>
      <c r="P12" s="6">
        <v>69</v>
      </c>
      <c r="Q12" s="5">
        <v>67</v>
      </c>
      <c r="R12" s="5">
        <v>67</v>
      </c>
      <c r="S12" s="5">
        <v>67</v>
      </c>
      <c r="T12" s="5">
        <v>67</v>
      </c>
      <c r="U12" s="5">
        <v>66</v>
      </c>
      <c r="V12" s="5">
        <v>66</v>
      </c>
      <c r="W12" s="5">
        <v>66</v>
      </c>
      <c r="X12" s="5">
        <v>65</v>
      </c>
      <c r="Y12" s="5">
        <v>61</v>
      </c>
      <c r="Z12" s="5">
        <v>60</v>
      </c>
      <c r="AA12" s="5">
        <v>60</v>
      </c>
      <c r="AB12" s="5"/>
      <c r="AC12" s="5">
        <v>59</v>
      </c>
    </row>
    <row r="13" spans="1:29">
      <c r="A13" s="3" t="s">
        <v>14</v>
      </c>
      <c r="B13" s="4">
        <v>25.4</v>
      </c>
      <c r="C13" s="3" t="s">
        <v>15</v>
      </c>
      <c r="D13" s="3"/>
      <c r="E13" s="3" t="s">
        <v>16</v>
      </c>
      <c r="F13" s="3">
        <v>81</v>
      </c>
      <c r="G13" s="3">
        <v>81</v>
      </c>
      <c r="H13" s="3"/>
      <c r="I13" s="3"/>
      <c r="J13" s="3">
        <v>80</v>
      </c>
      <c r="K13" s="3">
        <v>80</v>
      </c>
      <c r="L13" s="3">
        <v>79</v>
      </c>
      <c r="M13" s="3">
        <v>79</v>
      </c>
      <c r="N13" s="3">
        <v>79</v>
      </c>
      <c r="O13" s="3">
        <v>78</v>
      </c>
      <c r="P13" s="6">
        <v>78</v>
      </c>
      <c r="Q13" s="5">
        <v>78</v>
      </c>
      <c r="R13" s="7">
        <v>79</v>
      </c>
      <c r="S13" s="7">
        <v>79</v>
      </c>
      <c r="T13" s="7">
        <v>79</v>
      </c>
      <c r="U13" s="5">
        <v>76</v>
      </c>
      <c r="V13" s="5">
        <v>76</v>
      </c>
      <c r="W13" s="5">
        <v>76</v>
      </c>
      <c r="X13" s="5">
        <v>75</v>
      </c>
      <c r="Y13" s="5">
        <v>75</v>
      </c>
      <c r="Z13" s="5">
        <v>71</v>
      </c>
      <c r="AA13" s="5">
        <v>70</v>
      </c>
      <c r="AB13" s="5"/>
      <c r="AC13" s="5">
        <v>69</v>
      </c>
    </row>
    <row r="14" spans="1:29">
      <c r="A14" s="3" t="s">
        <v>17</v>
      </c>
      <c r="B14" s="4">
        <v>26.7</v>
      </c>
      <c r="C14" s="3" t="s">
        <v>8</v>
      </c>
      <c r="D14" s="3"/>
      <c r="E14" s="3" t="s">
        <v>8</v>
      </c>
      <c r="F14" s="3"/>
      <c r="G14" s="3"/>
      <c r="H14" s="3"/>
      <c r="I14" s="3"/>
      <c r="J14" s="3"/>
      <c r="K14" s="3"/>
      <c r="L14" s="3"/>
      <c r="M14" s="3"/>
      <c r="N14" s="3"/>
      <c r="O14" s="3">
        <v>83</v>
      </c>
      <c r="P14" s="6">
        <v>83</v>
      </c>
      <c r="Q14" s="5">
        <v>82</v>
      </c>
      <c r="R14" s="5">
        <v>82</v>
      </c>
      <c r="S14" s="5">
        <v>82</v>
      </c>
      <c r="T14" s="5">
        <v>82</v>
      </c>
      <c r="U14" s="5">
        <v>81</v>
      </c>
      <c r="V14" s="5">
        <v>80</v>
      </c>
      <c r="W14" s="5">
        <v>79</v>
      </c>
      <c r="X14" s="5"/>
      <c r="Y14" s="5"/>
      <c r="Z14" s="5"/>
      <c r="AA14" s="5"/>
      <c r="AB14" s="5"/>
      <c r="AC14" s="5"/>
    </row>
    <row r="15" spans="1:29">
      <c r="A15" s="3" t="s">
        <v>18</v>
      </c>
      <c r="B15" s="4">
        <v>31.75</v>
      </c>
      <c r="C15" s="3" t="s">
        <v>19</v>
      </c>
      <c r="D15" s="3"/>
      <c r="E15" s="3" t="s">
        <v>20</v>
      </c>
      <c r="F15" s="3">
        <v>101</v>
      </c>
      <c r="G15" s="3">
        <v>101</v>
      </c>
      <c r="H15" s="3"/>
      <c r="I15" s="3"/>
      <c r="J15" s="3">
        <v>100</v>
      </c>
      <c r="K15" s="3">
        <v>100</v>
      </c>
      <c r="L15" s="3">
        <v>99</v>
      </c>
      <c r="M15" s="3">
        <v>99</v>
      </c>
      <c r="N15" s="3">
        <v>99</v>
      </c>
      <c r="O15" s="3">
        <v>98</v>
      </c>
      <c r="P15" s="6">
        <v>98</v>
      </c>
      <c r="Q15" s="5">
        <v>98</v>
      </c>
      <c r="R15" s="7">
        <v>98</v>
      </c>
      <c r="S15" s="7">
        <v>98</v>
      </c>
      <c r="T15" s="7">
        <v>98</v>
      </c>
      <c r="U15" s="7">
        <v>98</v>
      </c>
      <c r="V15" s="7">
        <v>97</v>
      </c>
      <c r="W15" s="7">
        <v>97</v>
      </c>
      <c r="X15" s="7">
        <v>96</v>
      </c>
      <c r="Y15" s="7">
        <v>96</v>
      </c>
      <c r="Z15" s="7">
        <v>92</v>
      </c>
      <c r="AA15" s="7">
        <v>91</v>
      </c>
      <c r="AB15" s="7"/>
      <c r="AC15" s="7">
        <v>90</v>
      </c>
    </row>
    <row r="16" spans="1:29">
      <c r="A16" s="3" t="s">
        <v>21</v>
      </c>
      <c r="B16" s="4">
        <v>33.4</v>
      </c>
      <c r="C16" s="3" t="s">
        <v>8</v>
      </c>
      <c r="D16" s="3"/>
      <c r="E16" s="3" t="s">
        <v>8</v>
      </c>
      <c r="F16" s="3"/>
      <c r="G16" s="3"/>
      <c r="H16" s="3"/>
      <c r="I16" s="3"/>
      <c r="J16" s="3"/>
      <c r="K16" s="3"/>
      <c r="L16" s="3"/>
      <c r="M16" s="3"/>
      <c r="N16" s="3"/>
      <c r="O16" s="3">
        <v>104</v>
      </c>
      <c r="P16" s="6">
        <v>104</v>
      </c>
      <c r="Q16" s="5">
        <v>103</v>
      </c>
      <c r="R16" s="5">
        <v>103</v>
      </c>
      <c r="S16" s="5">
        <v>103</v>
      </c>
      <c r="T16" s="5">
        <v>103</v>
      </c>
      <c r="U16" s="5">
        <v>102</v>
      </c>
      <c r="V16" s="5">
        <v>101</v>
      </c>
      <c r="W16" s="5">
        <v>100</v>
      </c>
      <c r="X16" s="5"/>
      <c r="Y16" s="5"/>
      <c r="Z16" s="5"/>
      <c r="AA16" s="5"/>
      <c r="AB16" s="5"/>
      <c r="AC16" s="5"/>
    </row>
    <row r="17" spans="1:29">
      <c r="A17" s="3" t="s">
        <v>22</v>
      </c>
      <c r="B17" s="4">
        <v>34.92</v>
      </c>
      <c r="C17" s="3" t="s">
        <v>8</v>
      </c>
      <c r="D17" s="3"/>
      <c r="E17" s="3" t="s">
        <v>8</v>
      </c>
      <c r="F17" s="3">
        <v>110</v>
      </c>
      <c r="G17" s="3">
        <v>110</v>
      </c>
      <c r="H17" s="3"/>
      <c r="I17" s="3"/>
      <c r="J17" s="3">
        <v>110</v>
      </c>
      <c r="K17" s="3">
        <v>110</v>
      </c>
      <c r="L17" s="3">
        <v>110</v>
      </c>
      <c r="M17" s="3">
        <v>109</v>
      </c>
      <c r="N17" s="3">
        <v>109</v>
      </c>
      <c r="O17" s="3">
        <v>108</v>
      </c>
      <c r="P17" s="6">
        <v>108</v>
      </c>
      <c r="Q17" s="5">
        <v>107</v>
      </c>
      <c r="R17" s="5">
        <v>107</v>
      </c>
      <c r="S17" s="5">
        <v>107</v>
      </c>
      <c r="T17" s="5">
        <v>107</v>
      </c>
      <c r="U17" s="5">
        <v>106</v>
      </c>
      <c r="V17" s="5">
        <v>105</v>
      </c>
      <c r="W17" s="5">
        <v>104</v>
      </c>
      <c r="X17" s="5"/>
      <c r="Y17" s="5"/>
      <c r="Z17" s="5"/>
      <c r="AA17" s="5"/>
      <c r="AB17" s="5"/>
      <c r="AC17" s="5"/>
    </row>
    <row r="18" spans="1:29" ht="42.75" customHeight="1">
      <c r="A18" s="3" t="s">
        <v>23</v>
      </c>
      <c r="B18" s="4">
        <v>38.1</v>
      </c>
      <c r="C18" s="3" t="s">
        <v>24</v>
      </c>
      <c r="D18" s="3"/>
      <c r="E18" s="3" t="s">
        <v>25</v>
      </c>
      <c r="F18" s="3">
        <v>120</v>
      </c>
      <c r="G18" s="3">
        <v>120</v>
      </c>
      <c r="H18" s="3"/>
      <c r="I18" s="3"/>
      <c r="J18" s="3">
        <v>120</v>
      </c>
      <c r="K18" s="3">
        <v>120</v>
      </c>
      <c r="L18" s="3">
        <v>119</v>
      </c>
      <c r="M18" s="3">
        <v>119</v>
      </c>
      <c r="N18" s="3">
        <v>119</v>
      </c>
      <c r="O18" s="3">
        <v>118</v>
      </c>
      <c r="P18" s="6">
        <v>118</v>
      </c>
      <c r="Q18" s="5">
        <v>118</v>
      </c>
      <c r="R18" s="5">
        <v>118</v>
      </c>
      <c r="S18" s="5">
        <v>117</v>
      </c>
      <c r="T18" s="7">
        <v>118</v>
      </c>
      <c r="U18" s="5">
        <v>117</v>
      </c>
      <c r="V18" s="5">
        <v>115</v>
      </c>
      <c r="W18" s="5">
        <v>114</v>
      </c>
      <c r="X18" s="5"/>
      <c r="Y18" s="5"/>
      <c r="Z18" s="5"/>
      <c r="AA18" s="5"/>
      <c r="AB18" s="5"/>
      <c r="AC18" s="5"/>
    </row>
    <row r="19" spans="1:29" ht="21.75" customHeight="1">
      <c r="A19" s="3" t="s">
        <v>26</v>
      </c>
      <c r="B19" s="4">
        <v>42.2</v>
      </c>
      <c r="C19" s="3" t="s">
        <v>8</v>
      </c>
      <c r="D19" s="3"/>
      <c r="E19" s="3" t="s">
        <v>8</v>
      </c>
      <c r="F19" s="3"/>
      <c r="G19" s="3"/>
      <c r="H19" s="3"/>
      <c r="I19" s="3"/>
      <c r="J19" s="3"/>
      <c r="K19" s="3"/>
      <c r="L19" s="3"/>
      <c r="M19" s="3"/>
      <c r="N19" s="3"/>
      <c r="O19" s="3">
        <v>131</v>
      </c>
      <c r="P19" s="6">
        <v>131</v>
      </c>
      <c r="Q19" s="5">
        <v>130</v>
      </c>
      <c r="R19" s="5">
        <v>130</v>
      </c>
      <c r="S19" s="5">
        <v>130</v>
      </c>
      <c r="T19" s="5">
        <v>130</v>
      </c>
      <c r="U19" s="5">
        <v>129</v>
      </c>
      <c r="V19" s="5">
        <v>128</v>
      </c>
      <c r="W19" s="5">
        <v>128</v>
      </c>
      <c r="X19" s="5"/>
      <c r="Y19" s="5"/>
      <c r="Z19" s="5"/>
      <c r="AA19" s="5"/>
      <c r="AB19" s="5"/>
      <c r="AC19" s="5"/>
    </row>
    <row r="20" spans="1:29">
      <c r="A20" s="3" t="s">
        <v>27</v>
      </c>
      <c r="B20" s="4">
        <v>44.45</v>
      </c>
      <c r="C20" s="3" t="s">
        <v>8</v>
      </c>
      <c r="D20" s="3"/>
      <c r="E20" s="3" t="s">
        <v>28</v>
      </c>
      <c r="F20" s="3">
        <v>140</v>
      </c>
      <c r="G20" s="3">
        <v>140</v>
      </c>
      <c r="H20" s="3"/>
      <c r="I20" s="3"/>
      <c r="J20" s="3">
        <v>140</v>
      </c>
      <c r="K20" s="3">
        <v>140</v>
      </c>
      <c r="L20" s="3">
        <v>139</v>
      </c>
      <c r="M20" s="3">
        <v>139</v>
      </c>
      <c r="N20" s="3">
        <v>139</v>
      </c>
      <c r="O20" s="3">
        <v>138</v>
      </c>
      <c r="P20" s="6">
        <v>138</v>
      </c>
      <c r="Q20" s="5">
        <v>138</v>
      </c>
      <c r="R20" s="5">
        <v>138</v>
      </c>
      <c r="S20" s="5">
        <v>137</v>
      </c>
      <c r="T20" s="5">
        <v>137</v>
      </c>
      <c r="U20" s="5">
        <v>137</v>
      </c>
      <c r="V20" s="5">
        <v>135</v>
      </c>
      <c r="W20" s="5">
        <v>134</v>
      </c>
      <c r="X20" s="5">
        <v>133</v>
      </c>
      <c r="Y20" s="5">
        <v>132</v>
      </c>
      <c r="Z20" s="5">
        <v>131</v>
      </c>
      <c r="AA20" s="5">
        <v>130</v>
      </c>
      <c r="AB20" s="5"/>
      <c r="AC20" s="5">
        <v>129</v>
      </c>
    </row>
    <row r="21" spans="1:29" ht="25.5" customHeight="1">
      <c r="A21" s="3" t="s">
        <v>29</v>
      </c>
      <c r="B21" s="4">
        <v>48.3</v>
      </c>
      <c r="C21" s="3" t="s">
        <v>8</v>
      </c>
      <c r="D21" s="3"/>
      <c r="E21" s="3" t="s">
        <v>8</v>
      </c>
      <c r="F21" s="3"/>
      <c r="G21" s="3"/>
      <c r="H21" s="3"/>
      <c r="I21" s="3"/>
      <c r="J21" s="3"/>
      <c r="K21" s="3"/>
      <c r="L21" s="3"/>
      <c r="M21" s="3"/>
      <c r="N21" s="3"/>
      <c r="O21" s="3">
        <v>151</v>
      </c>
      <c r="P21" s="6">
        <v>151</v>
      </c>
      <c r="Q21" s="8">
        <v>149</v>
      </c>
      <c r="R21" s="8">
        <v>149</v>
      </c>
      <c r="S21" s="8">
        <v>149</v>
      </c>
      <c r="T21" s="8">
        <v>149</v>
      </c>
      <c r="U21" s="8">
        <v>148</v>
      </c>
      <c r="V21" s="8">
        <v>146</v>
      </c>
      <c r="W21" s="8">
        <v>146</v>
      </c>
      <c r="X21" s="8">
        <v>145</v>
      </c>
      <c r="Y21" s="8">
        <v>144</v>
      </c>
      <c r="Z21" s="5"/>
      <c r="AA21" s="5"/>
      <c r="AB21" s="5"/>
      <c r="AC21" s="5">
        <v>141</v>
      </c>
    </row>
    <row r="22" spans="1:29" ht="22.9">
      <c r="A22" s="3" t="s">
        <v>30</v>
      </c>
      <c r="B22" s="4">
        <v>50.8</v>
      </c>
      <c r="C22" s="3" t="s">
        <v>31</v>
      </c>
      <c r="D22" s="3"/>
      <c r="E22" s="3" t="s">
        <v>32</v>
      </c>
      <c r="F22" s="3">
        <v>160</v>
      </c>
      <c r="G22" s="3">
        <v>160</v>
      </c>
      <c r="H22" s="3"/>
      <c r="I22" s="3"/>
      <c r="J22" s="3">
        <v>160</v>
      </c>
      <c r="K22" s="3">
        <v>160</v>
      </c>
      <c r="L22" s="3">
        <v>159</v>
      </c>
      <c r="M22" s="3">
        <v>159</v>
      </c>
      <c r="N22" s="3">
        <v>159</v>
      </c>
      <c r="O22" s="7">
        <v>159</v>
      </c>
      <c r="P22" s="7">
        <v>159</v>
      </c>
      <c r="Q22" s="7">
        <v>159</v>
      </c>
      <c r="R22" s="8">
        <v>157</v>
      </c>
      <c r="S22" s="7">
        <v>158</v>
      </c>
      <c r="T22" s="7">
        <v>158</v>
      </c>
      <c r="U22" s="8">
        <v>157</v>
      </c>
      <c r="V22" s="7">
        <v>156</v>
      </c>
      <c r="W22" s="8">
        <v>154</v>
      </c>
      <c r="X22" s="8">
        <v>153</v>
      </c>
      <c r="Y22" s="8">
        <v>152</v>
      </c>
      <c r="Z22" s="5">
        <v>151</v>
      </c>
      <c r="AA22" s="5">
        <v>150</v>
      </c>
      <c r="AB22" s="5"/>
      <c r="AC22" s="5">
        <v>149</v>
      </c>
    </row>
    <row r="23" spans="1:29">
      <c r="A23" s="3" t="s">
        <v>33</v>
      </c>
      <c r="B23" s="4">
        <v>57.15</v>
      </c>
      <c r="C23" s="3" t="s">
        <v>8</v>
      </c>
      <c r="D23" s="3"/>
      <c r="E23" s="3" t="s">
        <v>34</v>
      </c>
      <c r="F23" s="3">
        <v>180</v>
      </c>
      <c r="G23" s="3">
        <v>180</v>
      </c>
      <c r="H23" s="3"/>
      <c r="I23" s="3"/>
      <c r="J23" s="3">
        <v>180</v>
      </c>
      <c r="K23" s="3">
        <v>180</v>
      </c>
      <c r="L23" s="3">
        <v>179</v>
      </c>
      <c r="M23" s="3">
        <v>180</v>
      </c>
      <c r="N23" s="3">
        <v>180</v>
      </c>
      <c r="O23" s="3">
        <v>179</v>
      </c>
      <c r="P23" s="6">
        <v>179</v>
      </c>
      <c r="Q23" s="5">
        <v>177</v>
      </c>
      <c r="R23" s="5">
        <v>177</v>
      </c>
      <c r="S23" s="5">
        <v>177</v>
      </c>
      <c r="T23" s="5">
        <v>177</v>
      </c>
      <c r="U23" s="5">
        <v>176</v>
      </c>
      <c r="V23" s="5">
        <v>175</v>
      </c>
      <c r="W23" s="5">
        <v>175</v>
      </c>
      <c r="X23" s="5"/>
      <c r="Y23" s="5"/>
      <c r="Z23" s="5"/>
      <c r="AA23" s="5"/>
      <c r="AB23" s="5"/>
      <c r="AC23" s="5"/>
    </row>
    <row r="24" spans="1:29">
      <c r="A24" s="3" t="s">
        <v>35</v>
      </c>
      <c r="B24" s="4">
        <v>60.3</v>
      </c>
      <c r="C24" s="3" t="s">
        <v>8</v>
      </c>
      <c r="D24" s="3"/>
      <c r="E24" s="3" t="s">
        <v>8</v>
      </c>
      <c r="F24" s="3"/>
      <c r="G24" s="3"/>
      <c r="H24" s="3"/>
      <c r="I24" s="3"/>
      <c r="J24" s="3"/>
      <c r="K24" s="3"/>
      <c r="L24" s="3"/>
      <c r="M24" s="3"/>
      <c r="N24" s="3"/>
      <c r="O24" s="3">
        <v>188</v>
      </c>
      <c r="P24" s="6">
        <v>188</v>
      </c>
      <c r="Q24" s="8">
        <v>187</v>
      </c>
      <c r="R24" s="8">
        <v>187</v>
      </c>
      <c r="S24" s="8">
        <v>187</v>
      </c>
      <c r="T24" s="8">
        <v>187</v>
      </c>
      <c r="U24" s="8">
        <v>187</v>
      </c>
      <c r="V24" s="8">
        <v>184</v>
      </c>
      <c r="W24" s="8">
        <v>183</v>
      </c>
      <c r="X24" s="8">
        <v>182</v>
      </c>
      <c r="Y24" s="8">
        <v>181</v>
      </c>
      <c r="Z24" s="5">
        <v>181</v>
      </c>
      <c r="AA24" s="5">
        <v>180</v>
      </c>
      <c r="AB24" s="5"/>
      <c r="AC24" s="5">
        <v>178</v>
      </c>
    </row>
    <row r="25" spans="1:29">
      <c r="A25" s="3" t="s">
        <v>36</v>
      </c>
      <c r="B25" s="4">
        <v>63.5</v>
      </c>
      <c r="C25" s="3" t="s">
        <v>37</v>
      </c>
      <c r="D25" s="3"/>
      <c r="E25" s="3" t="s">
        <v>38</v>
      </c>
      <c r="F25" s="3">
        <v>200</v>
      </c>
      <c r="G25" s="3">
        <v>200</v>
      </c>
      <c r="H25" s="3"/>
      <c r="I25" s="3"/>
      <c r="J25" s="3">
        <v>200</v>
      </c>
      <c r="K25" s="3">
        <v>200</v>
      </c>
      <c r="L25" s="3">
        <v>199</v>
      </c>
      <c r="M25" s="3">
        <v>199</v>
      </c>
      <c r="N25" s="3">
        <v>199</v>
      </c>
      <c r="O25" s="9">
        <v>198</v>
      </c>
      <c r="P25" s="10">
        <v>198</v>
      </c>
      <c r="Q25" s="10">
        <v>198</v>
      </c>
      <c r="R25" s="10">
        <v>198</v>
      </c>
      <c r="S25" s="10">
        <v>198</v>
      </c>
      <c r="T25" s="10">
        <v>198</v>
      </c>
      <c r="U25" s="10">
        <v>198</v>
      </c>
      <c r="V25" s="7">
        <v>196</v>
      </c>
      <c r="W25" s="8">
        <v>194</v>
      </c>
      <c r="X25" s="8">
        <v>193</v>
      </c>
      <c r="Y25" s="8">
        <v>192</v>
      </c>
      <c r="Z25" s="5">
        <v>191</v>
      </c>
      <c r="AA25" s="5">
        <v>190</v>
      </c>
      <c r="AB25" s="5"/>
      <c r="AC25" s="5">
        <v>188</v>
      </c>
    </row>
    <row r="26" spans="1:29">
      <c r="A26" s="3" t="s">
        <v>39</v>
      </c>
      <c r="B26" s="4">
        <v>76.2</v>
      </c>
      <c r="C26" s="3" t="s">
        <v>40</v>
      </c>
      <c r="D26" s="3"/>
      <c r="E26" s="3" t="s">
        <v>41</v>
      </c>
      <c r="F26" s="3">
        <v>240</v>
      </c>
      <c r="G26" s="3">
        <v>240</v>
      </c>
      <c r="H26" s="3"/>
      <c r="I26" s="3"/>
      <c r="J26" s="3">
        <v>240</v>
      </c>
      <c r="K26" s="3">
        <v>240</v>
      </c>
      <c r="L26" s="3">
        <v>239</v>
      </c>
      <c r="M26" s="3">
        <v>239</v>
      </c>
      <c r="N26" s="3">
        <v>239</v>
      </c>
      <c r="O26" s="9">
        <v>238</v>
      </c>
      <c r="P26" s="11">
        <v>238</v>
      </c>
      <c r="Q26" s="8">
        <v>238</v>
      </c>
      <c r="R26" s="8">
        <v>237</v>
      </c>
      <c r="S26" s="8">
        <v>237</v>
      </c>
      <c r="T26" s="7">
        <v>238</v>
      </c>
      <c r="U26" s="8">
        <v>236</v>
      </c>
      <c r="V26" s="7">
        <v>236</v>
      </c>
      <c r="W26" s="8">
        <v>234</v>
      </c>
      <c r="X26" s="8">
        <v>233</v>
      </c>
      <c r="Y26" s="7">
        <v>233</v>
      </c>
      <c r="Z26" s="8">
        <v>231</v>
      </c>
      <c r="AA26" s="8">
        <v>230</v>
      </c>
      <c r="AB26" s="8"/>
      <c r="AC26" s="8">
        <v>228</v>
      </c>
    </row>
    <row r="27" spans="1:29" ht="22.9">
      <c r="A27" s="3" t="s">
        <v>42</v>
      </c>
      <c r="B27" s="4">
        <v>88.9</v>
      </c>
      <c r="C27" s="3" t="s">
        <v>43</v>
      </c>
      <c r="D27" s="3"/>
      <c r="E27" s="3" t="s">
        <v>44</v>
      </c>
      <c r="F27" s="3"/>
      <c r="G27" s="3"/>
      <c r="H27" s="3"/>
      <c r="I27" s="3"/>
      <c r="J27" s="3"/>
      <c r="K27" s="3"/>
      <c r="L27" s="3"/>
      <c r="M27" s="3"/>
      <c r="N27" s="3"/>
      <c r="O27" s="9">
        <v>278</v>
      </c>
      <c r="P27" s="11">
        <v>278</v>
      </c>
      <c r="Q27" s="8">
        <v>278</v>
      </c>
      <c r="R27" s="8">
        <v>278</v>
      </c>
      <c r="S27" s="8">
        <v>277</v>
      </c>
      <c r="T27" s="7">
        <v>278</v>
      </c>
      <c r="U27" s="8">
        <v>277</v>
      </c>
      <c r="V27" s="7">
        <v>276</v>
      </c>
      <c r="W27" s="8">
        <v>275</v>
      </c>
      <c r="X27" s="8">
        <v>275</v>
      </c>
      <c r="Y27" s="8">
        <v>273</v>
      </c>
      <c r="Z27" s="8">
        <v>271</v>
      </c>
      <c r="AA27" s="8">
        <v>270</v>
      </c>
      <c r="AB27" s="8"/>
      <c r="AC27" s="8">
        <v>268</v>
      </c>
    </row>
    <row r="28" spans="1:29" ht="22.9">
      <c r="A28" s="3" t="s">
        <v>45</v>
      </c>
      <c r="B28" s="4">
        <v>101.6</v>
      </c>
      <c r="C28" s="3" t="s">
        <v>46</v>
      </c>
      <c r="D28" s="3"/>
      <c r="E28" s="3" t="s">
        <v>47</v>
      </c>
      <c r="F28" s="3"/>
      <c r="G28" s="3"/>
      <c r="H28" s="3"/>
      <c r="I28" s="3"/>
      <c r="J28" s="3"/>
      <c r="K28" s="3"/>
      <c r="L28" s="3"/>
      <c r="M28" s="3"/>
      <c r="N28" s="3">
        <v>319</v>
      </c>
      <c r="O28" s="9">
        <v>318</v>
      </c>
      <c r="P28" s="11">
        <v>318</v>
      </c>
      <c r="Q28" s="7">
        <v>318</v>
      </c>
      <c r="R28" s="7">
        <v>318</v>
      </c>
      <c r="S28" s="7">
        <v>318</v>
      </c>
      <c r="T28" s="7">
        <v>318</v>
      </c>
      <c r="U28" s="7">
        <v>317</v>
      </c>
      <c r="V28" s="7">
        <v>317</v>
      </c>
      <c r="W28" s="7">
        <v>316</v>
      </c>
      <c r="X28" s="7">
        <v>316</v>
      </c>
      <c r="Y28" s="8">
        <v>313</v>
      </c>
      <c r="Z28" s="8">
        <v>311</v>
      </c>
      <c r="AA28" s="8">
        <v>310</v>
      </c>
      <c r="AB28" s="8"/>
      <c r="AC28" s="8">
        <v>308</v>
      </c>
    </row>
    <row r="29" spans="1:29" ht="22.9">
      <c r="A29" s="3" t="s">
        <v>48</v>
      </c>
      <c r="B29" s="4">
        <v>114.3</v>
      </c>
      <c r="C29" s="3" t="s">
        <v>49</v>
      </c>
      <c r="D29" s="3"/>
      <c r="E29" s="3" t="s">
        <v>50</v>
      </c>
      <c r="F29" s="3"/>
      <c r="G29" s="3"/>
      <c r="H29" s="3"/>
      <c r="I29" s="3"/>
      <c r="J29" s="3"/>
      <c r="K29" s="3"/>
      <c r="L29" s="3"/>
      <c r="M29" s="3"/>
      <c r="N29" s="3"/>
      <c r="O29" s="9">
        <v>364</v>
      </c>
      <c r="P29" s="11">
        <v>364</v>
      </c>
      <c r="Q29" s="8">
        <v>363</v>
      </c>
      <c r="R29" s="8">
        <v>363</v>
      </c>
      <c r="S29" s="8">
        <v>363</v>
      </c>
      <c r="T29" s="8">
        <v>361</v>
      </c>
      <c r="U29" s="8">
        <v>360</v>
      </c>
      <c r="V29" s="8">
        <v>359</v>
      </c>
      <c r="W29" s="7">
        <v>359</v>
      </c>
      <c r="X29" s="8">
        <v>357</v>
      </c>
      <c r="Y29" s="8">
        <v>356</v>
      </c>
      <c r="Z29" s="8">
        <v>355</v>
      </c>
      <c r="AA29" s="7">
        <v>355</v>
      </c>
      <c r="AB29" s="8"/>
      <c r="AC29" s="7">
        <v>353</v>
      </c>
    </row>
    <row r="30" spans="1:29" ht="22.9">
      <c r="A30" s="3" t="s">
        <v>51</v>
      </c>
      <c r="B30" s="4">
        <v>127</v>
      </c>
      <c r="C30" s="3" t="s">
        <v>52</v>
      </c>
      <c r="D30" s="3"/>
      <c r="E30" s="3" t="s">
        <v>8</v>
      </c>
      <c r="F30" s="3"/>
      <c r="G30" s="3"/>
      <c r="H30" s="3"/>
      <c r="I30" s="3"/>
      <c r="J30" s="3"/>
      <c r="K30" s="3"/>
      <c r="L30" s="3"/>
      <c r="M30" s="3"/>
      <c r="N30" s="3"/>
      <c r="O30" s="12">
        <v>398</v>
      </c>
      <c r="P30" s="11">
        <v>399</v>
      </c>
      <c r="Q30" s="8">
        <v>399</v>
      </c>
      <c r="R30" s="8">
        <v>399</v>
      </c>
      <c r="S30" s="8">
        <v>399</v>
      </c>
      <c r="T30" s="7">
        <v>399</v>
      </c>
      <c r="U30" s="8">
        <v>396</v>
      </c>
      <c r="V30" s="7">
        <v>396</v>
      </c>
      <c r="W30" s="7">
        <v>395</v>
      </c>
      <c r="X30" s="8">
        <v>393</v>
      </c>
      <c r="Y30" s="8">
        <v>392</v>
      </c>
      <c r="Z30" s="8">
        <v>391</v>
      </c>
      <c r="AA30" s="8">
        <v>388</v>
      </c>
      <c r="AB30" s="7">
        <v>387</v>
      </c>
      <c r="AC30" s="8">
        <v>387</v>
      </c>
    </row>
    <row r="31" spans="1:29">
      <c r="A31" s="3" t="s">
        <v>53</v>
      </c>
      <c r="B31" s="4">
        <v>95.25</v>
      </c>
      <c r="C31" s="3" t="s">
        <v>8</v>
      </c>
      <c r="D31" s="3"/>
      <c r="E31" s="3" t="s">
        <v>54</v>
      </c>
      <c r="F31" s="3"/>
      <c r="G31" s="3"/>
      <c r="H31" s="3"/>
      <c r="I31" s="3"/>
      <c r="J31" s="3"/>
      <c r="K31" s="3"/>
      <c r="L31" s="3"/>
      <c r="M31" s="3"/>
      <c r="N31" s="3"/>
      <c r="O31" s="9">
        <v>298</v>
      </c>
      <c r="P31" s="11">
        <v>298</v>
      </c>
      <c r="Q31" s="8">
        <v>298</v>
      </c>
      <c r="R31" s="7">
        <v>298</v>
      </c>
      <c r="S31" s="7">
        <v>298</v>
      </c>
      <c r="T31" s="7">
        <v>298</v>
      </c>
      <c r="U31" s="7">
        <v>297</v>
      </c>
      <c r="V31" s="7">
        <v>297</v>
      </c>
      <c r="W31" s="7">
        <v>297</v>
      </c>
      <c r="X31" s="8">
        <v>295</v>
      </c>
      <c r="Y31" s="8">
        <v>293</v>
      </c>
      <c r="Z31" s="5"/>
      <c r="AA31" s="8">
        <v>290</v>
      </c>
      <c r="AB31" s="8"/>
      <c r="AC31" s="8">
        <v>289</v>
      </c>
    </row>
    <row r="33" spans="1:11">
      <c r="A33" s="15" t="s">
        <v>55</v>
      </c>
      <c r="B33" s="17" t="s">
        <v>56</v>
      </c>
      <c r="C33" s="18"/>
      <c r="D33" s="18"/>
      <c r="E33" s="15" t="s">
        <v>55</v>
      </c>
      <c r="F33" s="36" t="s">
        <v>56</v>
      </c>
      <c r="G33" s="37"/>
      <c r="H33" s="27"/>
      <c r="I33" s="27"/>
      <c r="J33" s="21" t="s">
        <v>55</v>
      </c>
      <c r="K33" s="21" t="s">
        <v>56</v>
      </c>
    </row>
    <row r="34" spans="1:11" ht="15" thickBot="1">
      <c r="A34" s="13" t="str">
        <f>"SLT20045"</f>
        <v>SLT20045</v>
      </c>
      <c r="B34" s="13" t="str">
        <f>"SLITTER 1,25 X 79"</f>
        <v>SLITTER 1,25 X 79</v>
      </c>
      <c r="C34" s="13"/>
      <c r="D34" s="16"/>
      <c r="E34" s="24" t="s">
        <v>57</v>
      </c>
      <c r="F34" s="25" t="s">
        <v>58</v>
      </c>
      <c r="G34" s="13"/>
      <c r="H34" s="13"/>
      <c r="J34" s="13" t="str">
        <f>"SLT20925"</f>
        <v>SLT20925</v>
      </c>
      <c r="K34" s="13" t="str">
        <f>"SLITTER 3,00 X 277"</f>
        <v>SLITTER 3,00 X 277</v>
      </c>
    </row>
    <row r="35" spans="1:11">
      <c r="A35" s="13" t="str">
        <f>"SLT20050"</f>
        <v>SLT20050</v>
      </c>
      <c r="B35" s="13" t="str">
        <f>"SLITTER 1,25 X 99"</f>
        <v>SLITTER 1,25 X 99</v>
      </c>
      <c r="C35" s="13"/>
      <c r="D35" s="13"/>
      <c r="E35" s="13" t="str">
        <f>"SLT20475"</f>
        <v>SLT20475</v>
      </c>
      <c r="F35" s="13" t="str">
        <f>"SLITTER 1,95 X 80"</f>
        <v>SLITTER 1,95 X 80</v>
      </c>
      <c r="G35" s="13"/>
      <c r="H35" s="13"/>
      <c r="J35" s="13" t="str">
        <f>"SLT20930"</f>
        <v>SLT20930</v>
      </c>
      <c r="K35" s="13" t="str">
        <f>"SLITTER 3,00 X 315"</f>
        <v>SLITTER 3,00 X 315</v>
      </c>
    </row>
    <row r="36" spans="1:11">
      <c r="A36" s="13" t="str">
        <f>"SLT20055"</f>
        <v>SLT20055</v>
      </c>
      <c r="B36" s="13" t="str">
        <f>"SLITTER 1,25 X 109"</f>
        <v>SLITTER 1,25 X 109</v>
      </c>
      <c r="C36" s="13"/>
      <c r="D36" s="13"/>
      <c r="E36" s="13" t="str">
        <f>"SLT20480"</f>
        <v>SLT20480</v>
      </c>
      <c r="F36" s="13" t="str">
        <f>"SLITTER 1,95 X 82"</f>
        <v>SLITTER 1,95 X 82</v>
      </c>
      <c r="G36" s="13"/>
      <c r="H36" s="13"/>
      <c r="J36" s="13" t="str">
        <f>"SLT20935"</f>
        <v>SLT20935</v>
      </c>
      <c r="K36" s="13" t="str">
        <f>"SLITTER 3,00 X 358"</f>
        <v>SLITTER 3,00 X 358</v>
      </c>
    </row>
    <row r="37" spans="1:11">
      <c r="A37" s="13" t="str">
        <f>"SLT20060"</f>
        <v>SLT20060</v>
      </c>
      <c r="B37" s="13" t="str">
        <f>"SLITTER 1,25 X 121"</f>
        <v>SLITTER 1,25 X 121</v>
      </c>
      <c r="C37" s="13"/>
      <c r="D37" s="13"/>
      <c r="E37" s="13" t="str">
        <f>"SLT20485"</f>
        <v>SLT20485</v>
      </c>
      <c r="F37" s="13" t="str">
        <f>"SLITTER 1,95 X 98"</f>
        <v>SLITTER 1,95 X 98</v>
      </c>
      <c r="G37" s="13"/>
      <c r="H37" s="13"/>
      <c r="J37" s="13" t="str">
        <f>"SLT20940"</f>
        <v>SLT20940</v>
      </c>
      <c r="K37" s="13" t="str">
        <f>"SLITTER 3,00 X 394"</f>
        <v>SLITTER 3,00 X 394</v>
      </c>
    </row>
    <row r="38" spans="1:11">
      <c r="A38" s="13" t="str">
        <f>"SLT20065"</f>
        <v>SLT20065</v>
      </c>
      <c r="B38" s="13" t="str">
        <f>"SLITTER 1,25 X 139"</f>
        <v>SLITTER 1,25 X 139</v>
      </c>
      <c r="C38" s="13"/>
      <c r="D38" s="13"/>
      <c r="E38" s="13" t="str">
        <f>"SLT20490"</f>
        <v>SLT20490</v>
      </c>
      <c r="F38" s="13" t="str">
        <f>"SLITTER 1,95 X 103"</f>
        <v>SLITTER 1,95 X 103</v>
      </c>
      <c r="G38" s="13"/>
      <c r="H38" s="13"/>
      <c r="J38" s="13" t="str">
        <f>"SLT20945"</f>
        <v>SLT20945</v>
      </c>
      <c r="K38" s="13" t="str">
        <f>"SLITTER 3,00 X 296"</f>
        <v>SLITTER 3,00 X 296</v>
      </c>
    </row>
    <row r="39" spans="1:11">
      <c r="A39" s="13" t="str">
        <f>"SLT20070"</f>
        <v>SLT20070</v>
      </c>
      <c r="B39" s="13" t="str">
        <f>"SLITTER 1,25 X 160"</f>
        <v>SLITTER 1,25 X 160</v>
      </c>
      <c r="C39" s="13"/>
      <c r="D39" s="13"/>
      <c r="E39" s="13" t="str">
        <f>"SLT20495"</f>
        <v>SLT20495</v>
      </c>
      <c r="F39" s="13" t="str">
        <f>"SLITTER 1,95 X 107"</f>
        <v>SLITTER 1,95 X 107</v>
      </c>
      <c r="G39" s="13"/>
      <c r="H39" s="20"/>
      <c r="I39" s="20"/>
    </row>
    <row r="40" spans="1:11">
      <c r="A40" s="13" t="str">
        <f>"SLT20075"</f>
        <v>SLT20075</v>
      </c>
      <c r="B40" s="13" t="str">
        <f>"SLITTER 1,25 X 180"</f>
        <v>SLITTER 1,25 X 180</v>
      </c>
      <c r="C40" s="13"/>
      <c r="D40" s="13"/>
      <c r="E40" s="13" t="str">
        <f>"SLT20500"</f>
        <v>SLT20500</v>
      </c>
      <c r="F40" s="13" t="str">
        <f>"SLITTER 1,95 X 118"</f>
        <v>SLITTER 1,95 X 118</v>
      </c>
      <c r="G40" s="13"/>
      <c r="H40" s="20"/>
      <c r="I40" s="20"/>
    </row>
    <row r="41" spans="1:11">
      <c r="A41" s="13" t="str">
        <f>"SLT20080"</f>
        <v>SLT20080</v>
      </c>
      <c r="B41" s="13" t="str">
        <f>"SLITTER 1,25 X 199"</f>
        <v>SLITTER 1,25 X 199</v>
      </c>
      <c r="C41" s="13"/>
      <c r="D41" s="13"/>
      <c r="E41" s="13" t="str">
        <f>"SLT20505"</f>
        <v>SLT20505</v>
      </c>
      <c r="F41" s="13" t="str">
        <f>"SLITTER 1,95 X 130"</f>
        <v>SLITTER 1,95 X 130</v>
      </c>
      <c r="G41" s="13"/>
      <c r="H41" s="20"/>
      <c r="I41" s="20"/>
    </row>
    <row r="42" spans="1:11">
      <c r="A42" s="13" t="str">
        <f>"SLT20085"</f>
        <v>SLT20085</v>
      </c>
      <c r="B42" s="13" t="str">
        <f>"SLITTER 1,25 X 239"</f>
        <v>SLITTER 1,25 X 239</v>
      </c>
      <c r="C42" s="13"/>
      <c r="D42" s="13"/>
      <c r="E42" s="13" t="str">
        <f>"SLT20510"</f>
        <v>SLT20510</v>
      </c>
      <c r="F42" s="13" t="str">
        <f>"SLITTER 1,95 X 137"</f>
        <v>SLITTER 1,95 X 137</v>
      </c>
      <c r="G42" s="13"/>
      <c r="H42" s="20"/>
      <c r="I42" s="20"/>
    </row>
    <row r="43" spans="1:11">
      <c r="A43" s="13" t="str">
        <f>"SLT20090"</f>
        <v>SLT20090</v>
      </c>
      <c r="B43" s="13" t="str">
        <f>"SLITTER 1,25 X 319"</f>
        <v>SLITTER 1,25 X 319</v>
      </c>
      <c r="C43" s="13"/>
      <c r="D43" s="13"/>
      <c r="E43" s="13" t="str">
        <f>"SLT20515"</f>
        <v>SLT20515</v>
      </c>
      <c r="F43" s="13" t="str">
        <f>"SLITTER 1,95 X 149"</f>
        <v>SLITTER 1,95 X 149</v>
      </c>
      <c r="G43" s="13"/>
      <c r="H43" s="20"/>
      <c r="I43" s="20"/>
    </row>
    <row r="44" spans="1:11">
      <c r="A44" s="13" t="str">
        <f>"SLT20095"</f>
        <v>SLT20095</v>
      </c>
      <c r="B44" s="13" t="str">
        <f>"SLITTER 1,50 X 80"</f>
        <v>SLITTER 1,50 X 80</v>
      </c>
      <c r="C44" s="13"/>
      <c r="D44" s="13"/>
      <c r="E44" s="13" t="str">
        <f>"SLT20520"</f>
        <v>SLT20520</v>
      </c>
      <c r="F44" s="13" t="str">
        <f>"SLITTER 1,95 X 158"</f>
        <v>SLITTER 1,95 X 158</v>
      </c>
      <c r="G44" s="13"/>
      <c r="H44" s="20"/>
      <c r="I44" s="20"/>
      <c r="J44" s="22" t="s">
        <v>59</v>
      </c>
      <c r="K44" s="22" t="s">
        <v>60</v>
      </c>
    </row>
    <row r="45" spans="1:11">
      <c r="A45" s="13" t="str">
        <f>"SLT20100"</f>
        <v>SLT20100</v>
      </c>
      <c r="B45" s="13" t="str">
        <f>"SLITTER 1,50 X 83"</f>
        <v>SLITTER 1,50 X 83</v>
      </c>
      <c r="C45" s="13"/>
      <c r="D45" s="13"/>
      <c r="E45" s="13" t="str">
        <f>"SLT20525"</f>
        <v>SLT20525</v>
      </c>
      <c r="F45" s="13" t="str">
        <f>"SLITTER 1,95 X 177"</f>
        <v>SLITTER 1,95 X 177</v>
      </c>
      <c r="G45" s="13"/>
      <c r="H45" s="16"/>
      <c r="I45" s="16"/>
      <c r="J45" s="22" t="s">
        <v>61</v>
      </c>
      <c r="K45" s="22" t="s">
        <v>62</v>
      </c>
    </row>
    <row r="46" spans="1:11">
      <c r="A46" s="13" t="str">
        <f>"SLT20105"</f>
        <v>SLT20105</v>
      </c>
      <c r="B46" s="13" t="str">
        <f>"SLITTER 1,50 X 98"</f>
        <v>SLITTER 1,50 X 98</v>
      </c>
      <c r="C46" s="13"/>
      <c r="D46" s="13"/>
      <c r="E46" s="13" t="str">
        <f>"SLT20530"</f>
        <v>SLT20530</v>
      </c>
      <c r="F46" s="13" t="str">
        <f>"SLITTER 1,95 X 187"</f>
        <v>SLITTER 1,95 X 187</v>
      </c>
      <c r="G46" s="13"/>
      <c r="H46" s="13"/>
      <c r="I46" s="13"/>
      <c r="J46" s="22" t="s">
        <v>63</v>
      </c>
      <c r="K46" s="22" t="s">
        <v>64</v>
      </c>
    </row>
    <row r="47" spans="1:11">
      <c r="A47" s="13" t="str">
        <f>"SLT20110"</f>
        <v>SLT20110</v>
      </c>
      <c r="B47" s="13" t="str">
        <f>"SLITTER 1,50 X 104"</f>
        <v>SLITTER 1,50 X 104</v>
      </c>
      <c r="C47" s="13"/>
      <c r="D47" s="13"/>
      <c r="E47" s="13" t="str">
        <f>"SLT20535"</f>
        <v>SLT20535</v>
      </c>
      <c r="F47" s="13" t="str">
        <f>"SLITTER 1,95 X 197"</f>
        <v>SLITTER 1,95 X 197</v>
      </c>
      <c r="G47" s="13"/>
      <c r="H47" s="13"/>
      <c r="I47" s="13"/>
      <c r="J47" s="22" t="s">
        <v>65</v>
      </c>
      <c r="K47" s="22" t="s">
        <v>66</v>
      </c>
    </row>
    <row r="48" spans="1:11">
      <c r="A48" s="13" t="str">
        <f>"SLT20115"</f>
        <v>SLT20115</v>
      </c>
      <c r="B48" s="13" t="str">
        <f>"SLITTER 1,50 X 108"</f>
        <v>SLITTER 1,50 X 108</v>
      </c>
      <c r="C48" s="13"/>
      <c r="D48" s="13"/>
      <c r="E48" s="13" t="str">
        <f>"SLT20540"</f>
        <v>SLT20540</v>
      </c>
      <c r="F48" s="13" t="str">
        <f>"SLITTER 1,95 X 237"</f>
        <v>SLITTER 1,95 X 237</v>
      </c>
      <c r="G48" s="13"/>
      <c r="H48" s="13"/>
      <c r="I48" s="13"/>
      <c r="J48" s="22" t="s">
        <v>67</v>
      </c>
      <c r="K48" s="22" t="s">
        <v>68</v>
      </c>
    </row>
    <row r="49" spans="1:11">
      <c r="A49" s="13" t="str">
        <f>"SLT20120"</f>
        <v>SLT20120</v>
      </c>
      <c r="B49" s="13" t="str">
        <f>"SLITTER 1,50 X 118"</f>
        <v>SLITTER 1,50 X 118</v>
      </c>
      <c r="C49" s="13"/>
      <c r="D49" s="13"/>
      <c r="E49" s="13" t="str">
        <f>"SLT20545"</f>
        <v>SLT20545</v>
      </c>
      <c r="F49" s="13" t="str">
        <f>"SLITTER 1,95 X 277"</f>
        <v>SLITTER 1,95 X 277</v>
      </c>
      <c r="G49" s="13"/>
      <c r="H49" s="13"/>
      <c r="I49" s="13"/>
      <c r="J49" s="22" t="s">
        <v>69</v>
      </c>
      <c r="K49" s="22" t="s">
        <v>70</v>
      </c>
    </row>
    <row r="50" spans="1:11">
      <c r="A50" s="13" t="str">
        <f>"SLT20125"</f>
        <v>SLT20125</v>
      </c>
      <c r="B50" s="13" t="str">
        <f>"SLITTER 1,50 X 131"</f>
        <v>SLITTER 1,50 X 131</v>
      </c>
      <c r="C50" s="13"/>
      <c r="D50" s="13"/>
      <c r="E50" s="13" t="str">
        <f>"SLT20550"</f>
        <v>SLT20550</v>
      </c>
      <c r="F50" s="13" t="str">
        <f>"SLITTER 1,95 X 317"</f>
        <v>SLITTER 1,95 X 317</v>
      </c>
      <c r="G50" s="13"/>
      <c r="H50" s="13"/>
      <c r="I50" s="13"/>
      <c r="J50" s="22" t="s">
        <v>71</v>
      </c>
      <c r="K50" s="22" t="s">
        <v>72</v>
      </c>
    </row>
    <row r="51" spans="1:11">
      <c r="A51" s="13" t="str">
        <f>"SLT20130"</f>
        <v>SLT20130</v>
      </c>
      <c r="B51" s="13" t="str">
        <f>"SLITTER 1,50 X 138"</f>
        <v>SLITTER 1,50 X 138</v>
      </c>
      <c r="C51" s="13"/>
      <c r="D51" s="13"/>
      <c r="E51" s="13" t="str">
        <f>"SLT20555"</f>
        <v>SLT20555</v>
      </c>
      <c r="F51" s="13" t="str">
        <f>"SLITTER 1,95 X 363"</f>
        <v>SLITTER 1,95 X 363</v>
      </c>
      <c r="G51" s="13"/>
      <c r="H51" s="13"/>
      <c r="I51" s="13"/>
      <c r="J51" s="22" t="s">
        <v>73</v>
      </c>
      <c r="K51" s="22" t="s">
        <v>74</v>
      </c>
    </row>
    <row r="52" spans="1:11">
      <c r="A52" s="13" t="str">
        <f>"SLT20135"</f>
        <v>SLT20135</v>
      </c>
      <c r="B52" s="13" t="str">
        <f>"SLITTER 1,50 X 151"</f>
        <v>SLITTER 1,50 X 151</v>
      </c>
      <c r="C52" s="13"/>
      <c r="D52" s="13"/>
      <c r="E52" s="13" t="str">
        <f>"SLT20560"</f>
        <v>SLT20560</v>
      </c>
      <c r="F52" s="13" t="str">
        <f>"SLITTER 1,95 X 399"</f>
        <v>SLITTER 1,95 X 399</v>
      </c>
      <c r="G52" s="13"/>
      <c r="H52" s="13"/>
      <c r="I52" s="13"/>
      <c r="J52" s="22" t="s">
        <v>75</v>
      </c>
      <c r="K52" s="22" t="s">
        <v>76</v>
      </c>
    </row>
    <row r="53" spans="1:11">
      <c r="A53" s="13" t="str">
        <f>"SLT20140"</f>
        <v>SLT20140</v>
      </c>
      <c r="B53" s="13" t="str">
        <f>"SLITTER 1,50 X 159"</f>
        <v>SLITTER 1,50 X 159</v>
      </c>
      <c r="C53" s="13"/>
      <c r="D53" s="13"/>
      <c r="E53" s="13" t="str">
        <f>"SLT20565"</f>
        <v>SLT20565</v>
      </c>
      <c r="F53" s="13" t="str">
        <f>"SLITTER 1,95 X 297"</f>
        <v>SLITTER 1,95 X 297</v>
      </c>
      <c r="G53" s="13"/>
      <c r="H53" s="13"/>
      <c r="I53" s="13"/>
      <c r="J53" s="22" t="s">
        <v>77</v>
      </c>
      <c r="K53" s="22" t="s">
        <v>78</v>
      </c>
    </row>
    <row r="54" spans="1:11">
      <c r="A54" s="13" t="str">
        <f>"SLT20145"</f>
        <v>SLT20145</v>
      </c>
      <c r="B54" s="13" t="str">
        <f>"SLITTER 1,50 X 179"</f>
        <v>SLITTER 1,50 X 179</v>
      </c>
      <c r="C54" s="13"/>
      <c r="D54" s="13"/>
      <c r="E54" s="16" t="str">
        <f>"SLT20570"</f>
        <v>SLT20570</v>
      </c>
      <c r="F54" s="16" t="str">
        <f>"SLITTER 2,00 X 77"</f>
        <v>SLITTER 2,00 X 77</v>
      </c>
      <c r="G54" s="19"/>
      <c r="H54" s="19"/>
      <c r="I54" s="13"/>
      <c r="J54" s="22" t="s">
        <v>79</v>
      </c>
      <c r="K54" s="22" t="s">
        <v>80</v>
      </c>
    </row>
    <row r="55" spans="1:11">
      <c r="A55" s="13" t="str">
        <f>"SLT20150"</f>
        <v>SLT20150</v>
      </c>
      <c r="B55" s="13" t="str">
        <f>"SLITTER 1,50 X 188"</f>
        <v>SLITTER 1,50 X 188</v>
      </c>
      <c r="C55" s="13"/>
      <c r="D55" s="13"/>
      <c r="E55" s="13" t="str">
        <f>"SLT20575"</f>
        <v>SLT20575</v>
      </c>
      <c r="F55" s="13" t="str">
        <f>"SLITTER 2,00 X 82"</f>
        <v>SLITTER 2,00 X 82</v>
      </c>
      <c r="G55" s="20"/>
      <c r="H55" s="20"/>
      <c r="I55" s="13"/>
      <c r="J55" s="16" t="s">
        <v>81</v>
      </c>
      <c r="K55" s="16" t="s">
        <v>82</v>
      </c>
    </row>
    <row r="56" spans="1:11">
      <c r="A56" s="13" t="str">
        <f>"SLT20155"</f>
        <v>SLT20155</v>
      </c>
      <c r="B56" s="13" t="str">
        <f>"SLITTER 1,50 X 198"</f>
        <v>SLITTER 1,50 X 198</v>
      </c>
      <c r="C56" s="13"/>
      <c r="D56" s="13"/>
      <c r="E56" s="13" t="str">
        <f>"SLT20580"</f>
        <v>SLT20580</v>
      </c>
      <c r="F56" s="13" t="str">
        <f>"SLITTER 2,00 X 97"</f>
        <v>SLITTER 2,00 X 97</v>
      </c>
      <c r="G56" s="20"/>
      <c r="H56" s="20"/>
      <c r="I56" s="13"/>
      <c r="J56" s="13" t="s">
        <v>83</v>
      </c>
      <c r="K56" s="13" t="s">
        <v>84</v>
      </c>
    </row>
    <row r="57" spans="1:11">
      <c r="A57" s="13" t="str">
        <f>"SLT20160"</f>
        <v>SLT20160</v>
      </c>
      <c r="B57" s="13" t="str">
        <f>"SLITTER 1,50 X 238"</f>
        <v>SLITTER 1,50 X 238</v>
      </c>
      <c r="C57" s="13"/>
      <c r="D57" s="13"/>
      <c r="E57" s="13" t="str">
        <f>"SLT20585"</f>
        <v>SLT20585</v>
      </c>
      <c r="F57" s="13" t="str">
        <f>"SLITTER 2,00 X 103"</f>
        <v>SLITTER 2,00 X 103</v>
      </c>
      <c r="G57" s="20"/>
      <c r="H57" s="20"/>
      <c r="I57" s="13"/>
      <c r="J57" s="13" t="s">
        <v>85</v>
      </c>
      <c r="K57" s="13" t="s">
        <v>86</v>
      </c>
    </row>
    <row r="58" spans="1:11">
      <c r="A58" s="13" t="str">
        <f>"SLT20165"</f>
        <v>SLT20165</v>
      </c>
      <c r="B58" s="13" t="str">
        <f>"SLITTER 1,50 X 278"</f>
        <v>SLITTER 1,50 X 278</v>
      </c>
      <c r="C58" s="13"/>
      <c r="D58" s="13"/>
      <c r="E58" s="13" t="str">
        <f>"SLT20590"</f>
        <v>SLT20590</v>
      </c>
      <c r="F58" s="13" t="str">
        <f>"SLITTER 2,00 X 107"</f>
        <v>SLITTER 2,00 X 107</v>
      </c>
      <c r="G58" s="20"/>
      <c r="H58" s="20"/>
      <c r="I58" s="13"/>
      <c r="J58" s="13" t="s">
        <v>87</v>
      </c>
      <c r="K58" s="13" t="s">
        <v>88</v>
      </c>
    </row>
    <row r="59" spans="1:11">
      <c r="A59" s="13" t="str">
        <f>"SLT20170"</f>
        <v>SLT20170</v>
      </c>
      <c r="B59" s="13" t="str">
        <f>"SLITTER 1,50 X 319"</f>
        <v>SLITTER 1,50 X 319</v>
      </c>
      <c r="C59" s="13"/>
      <c r="D59" s="13"/>
      <c r="E59" s="13" t="str">
        <f>"SLT20595"</f>
        <v>SLT20595</v>
      </c>
      <c r="F59" s="13" t="str">
        <f>"SLITTER 2,00 X 118"</f>
        <v>SLITTER 2,00 X 118</v>
      </c>
      <c r="G59" s="20"/>
      <c r="H59" s="29"/>
      <c r="I59" s="28"/>
      <c r="J59" s="13" t="s">
        <v>89</v>
      </c>
      <c r="K59" s="13" t="s">
        <v>90</v>
      </c>
    </row>
    <row r="60" spans="1:11">
      <c r="A60" s="13" t="str">
        <f>"SLT20175"</f>
        <v>SLT20175</v>
      </c>
      <c r="B60" s="13" t="str">
        <f>"SLITTER 1,50 X 364"</f>
        <v>SLITTER 1,50 X 364</v>
      </c>
      <c r="C60" s="13"/>
      <c r="D60" s="13"/>
      <c r="E60" s="13" t="str">
        <f>"SLT20600"</f>
        <v>SLT20600</v>
      </c>
      <c r="F60" s="13" t="str">
        <f>"SLITTER 2,00 X 130"</f>
        <v>SLITTER 2,00 X 130</v>
      </c>
      <c r="G60" s="20"/>
      <c r="J60" s="13" t="s">
        <v>91</v>
      </c>
      <c r="K60" s="13" t="s">
        <v>92</v>
      </c>
    </row>
    <row r="61" spans="1:11">
      <c r="A61" s="13" t="str">
        <f>"SLT20180"</f>
        <v>SLT20180</v>
      </c>
      <c r="B61" s="13" t="str">
        <f>"SLITTER 1,50 X 399"</f>
        <v>SLITTER 1,50 X 399</v>
      </c>
      <c r="C61" s="13"/>
      <c r="D61" s="13"/>
      <c r="E61" s="13" t="str">
        <f>"SLT20605"</f>
        <v>SLT20605</v>
      </c>
      <c r="F61" s="13" t="str">
        <f>"SLITTER 2,00 X 137"</f>
        <v>SLITTER 2,00 X 137</v>
      </c>
      <c r="G61" s="20"/>
      <c r="J61" s="13" t="s">
        <v>93</v>
      </c>
      <c r="K61" s="13" t="s">
        <v>94</v>
      </c>
    </row>
    <row r="62" spans="1:11">
      <c r="A62" s="13" t="str">
        <f>"SLT20185"</f>
        <v>SLT20185</v>
      </c>
      <c r="B62" s="13" t="str">
        <f>"SLITTER 1,50 X 298"</f>
        <v>SLITTER 1,50 X 298</v>
      </c>
      <c r="C62" s="13"/>
      <c r="D62" s="13"/>
      <c r="E62" s="13" t="str">
        <f>"SLT20610"</f>
        <v>SLT20610</v>
      </c>
      <c r="F62" s="13" t="str">
        <f>"SLITTER 2,00 X 149"</f>
        <v>SLITTER 2,00 X 149</v>
      </c>
      <c r="G62" s="20"/>
      <c r="J62" s="13" t="s">
        <v>95</v>
      </c>
      <c r="K62" s="13" t="s">
        <v>96</v>
      </c>
    </row>
    <row r="63" spans="1:11" ht="15" thickBot="1">
      <c r="A63" s="24" t="s">
        <v>97</v>
      </c>
      <c r="B63" s="25" t="s">
        <v>98</v>
      </c>
      <c r="C63" s="13"/>
      <c r="D63" s="13"/>
      <c r="E63" s="13" t="str">
        <f>"SLT20615"</f>
        <v>SLT20615</v>
      </c>
      <c r="F63" s="13" t="str">
        <f>"SLITTER 2,00 X 157"</f>
        <v>SLITTER 2,00 X 157</v>
      </c>
      <c r="G63" s="20"/>
      <c r="J63" s="13" t="s">
        <v>99</v>
      </c>
      <c r="K63" s="13" t="s">
        <v>100</v>
      </c>
    </row>
    <row r="64" spans="1:11" ht="15" thickBot="1">
      <c r="A64" s="24" t="s">
        <v>101</v>
      </c>
      <c r="B64" s="25" t="s">
        <v>102</v>
      </c>
      <c r="C64" s="13"/>
      <c r="D64" s="13"/>
      <c r="E64" s="13" t="str">
        <f>"SLT20620"</f>
        <v>SLT20620</v>
      </c>
      <c r="F64" s="13" t="str">
        <f>"SLITTER 2,00 X 177"</f>
        <v>SLITTER 2,00 X 177</v>
      </c>
      <c r="G64" s="20"/>
      <c r="J64" s="13" t="s">
        <v>103</v>
      </c>
      <c r="K64" s="13" t="s">
        <v>104</v>
      </c>
    </row>
    <row r="65" spans="1:11">
      <c r="A65" s="13" t="str">
        <f>"SLT20190"</f>
        <v>SLT20190</v>
      </c>
      <c r="B65" s="13" t="str">
        <f>"SLITTER 1,55 X 80"</f>
        <v>SLITTER 1,55 X 80</v>
      </c>
      <c r="C65" s="13"/>
      <c r="D65" s="13"/>
      <c r="E65" s="13" t="str">
        <f>"SLT20625"</f>
        <v>SLT20625</v>
      </c>
      <c r="F65" s="13" t="str">
        <f>"SLITTER 2,00 X 187"</f>
        <v>SLITTER 2,00 X 187</v>
      </c>
      <c r="G65" s="13"/>
      <c r="J65" s="13" t="s">
        <v>105</v>
      </c>
      <c r="K65" s="13" t="s">
        <v>106</v>
      </c>
    </row>
    <row r="66" spans="1:11">
      <c r="A66" s="13" t="str">
        <f>"SLT20195"</f>
        <v>SLT20195</v>
      </c>
      <c r="B66" s="13" t="str">
        <f>"SLITTER 1,55 X 83"</f>
        <v>SLITTER 1,55 X 83</v>
      </c>
      <c r="C66" s="13"/>
      <c r="D66" s="13"/>
      <c r="E66" s="13" t="str">
        <f>"SLT20630"</f>
        <v>SLT20630</v>
      </c>
      <c r="F66" s="13" t="str">
        <f>"SLITTER 2,00 X 197"</f>
        <v>SLITTER 2,00 X 197</v>
      </c>
      <c r="G66" s="13"/>
      <c r="J66" s="13" t="s">
        <v>107</v>
      </c>
      <c r="K66" s="13" t="s">
        <v>108</v>
      </c>
    </row>
    <row r="67" spans="1:11">
      <c r="A67" s="13" t="str">
        <f>"SLT20200"</f>
        <v>SLT20200</v>
      </c>
      <c r="B67" s="13" t="str">
        <f>"SLITTER 1,55 X 99"</f>
        <v>SLITTER 1,55 X 99</v>
      </c>
      <c r="C67" s="13"/>
      <c r="D67" s="13"/>
      <c r="E67" s="13" t="str">
        <f>"SLT20635"</f>
        <v>SLT20635</v>
      </c>
      <c r="F67" s="13" t="str">
        <f>"SLITTER 2,00 X 237"</f>
        <v>SLITTER 2,00 X 237</v>
      </c>
      <c r="G67" s="13"/>
      <c r="J67" s="13" t="s">
        <v>109</v>
      </c>
      <c r="K67" s="13" t="s">
        <v>110</v>
      </c>
    </row>
    <row r="68" spans="1:11">
      <c r="A68" s="13" t="str">
        <f>"SLT20205"</f>
        <v>SLT20205</v>
      </c>
      <c r="B68" s="13" t="str">
        <f>"SLITTER 1,55 X 104"</f>
        <v>SLITTER 1,55 X 104</v>
      </c>
      <c r="C68" s="13"/>
      <c r="D68" s="13"/>
      <c r="E68" s="13" t="str">
        <f>"SLT20640"</f>
        <v>SLT20640</v>
      </c>
      <c r="F68" s="13" t="str">
        <f>"SLITTER 2,00 X 277"</f>
        <v>SLITTER 2,00 X 277</v>
      </c>
      <c r="G68" s="13"/>
      <c r="J68" s="13" t="s">
        <v>111</v>
      </c>
      <c r="K68" s="13" t="s">
        <v>112</v>
      </c>
    </row>
    <row r="69" spans="1:11" ht="15" thickBot="1">
      <c r="A69" s="13" t="str">
        <f>"SLT20210"</f>
        <v>SLT20210</v>
      </c>
      <c r="B69" s="13" t="str">
        <f>"SLITTER 1,55 X 108"</f>
        <v>SLITTER 1,55 X 108</v>
      </c>
      <c r="C69" s="13"/>
      <c r="D69" s="13"/>
      <c r="E69" s="13" t="str">
        <f>"SLT20645"</f>
        <v>SLT20645</v>
      </c>
      <c r="F69" s="13" t="str">
        <f>"SLITTER 2,00 X 317"</f>
        <v>SLITTER 2,00 X 317</v>
      </c>
      <c r="G69" s="13"/>
      <c r="J69" s="23" t="s">
        <v>113</v>
      </c>
      <c r="K69" s="23" t="s">
        <v>114</v>
      </c>
    </row>
    <row r="70" spans="1:11">
      <c r="A70" s="13" t="str">
        <f>"SLT20215"</f>
        <v>SLT20215</v>
      </c>
      <c r="B70" s="13" t="str">
        <f>"SLITTER 1,55 X 120"</f>
        <v>SLITTER 1,55 X 120</v>
      </c>
      <c r="C70" s="13"/>
      <c r="D70" s="13"/>
      <c r="E70" s="13" t="str">
        <f>"SLT20650"</f>
        <v>SLT20650</v>
      </c>
      <c r="F70" s="13" t="str">
        <f>"SLITTER 2,00 X 361"</f>
        <v>SLITTER 2,00 X 361</v>
      </c>
      <c r="G70" s="13"/>
    </row>
    <row r="71" spans="1:11">
      <c r="A71" s="13" t="str">
        <f>"SLT20220"</f>
        <v>SLT20220</v>
      </c>
      <c r="B71" s="13" t="str">
        <f>"SLITTER 1,55 X 131"</f>
        <v>SLITTER 1,55 X 131</v>
      </c>
      <c r="C71" s="13"/>
      <c r="D71" s="13"/>
      <c r="E71" s="13" t="str">
        <f>"SLT20655"</f>
        <v>SLT20655</v>
      </c>
      <c r="F71" s="13" t="str">
        <f>"SLITTER 2,00 X 398"</f>
        <v>SLITTER 2,00 X 398</v>
      </c>
      <c r="G71" s="13"/>
    </row>
    <row r="72" spans="1:11">
      <c r="A72" s="13" t="str">
        <f>"SLT20225"</f>
        <v>SLT20225</v>
      </c>
      <c r="B72" s="13" t="str">
        <f>"SLITTER 1,55 X 138"</f>
        <v>SLITTER 1,55 X 138</v>
      </c>
      <c r="C72" s="13"/>
      <c r="D72" s="13"/>
      <c r="E72" s="13" t="str">
        <f>"SLT20660"</f>
        <v>SLT20660</v>
      </c>
      <c r="F72" s="13" t="str">
        <f>"SLITTER 2,00 X 297"</f>
        <v>SLITTER 2,00 X 297</v>
      </c>
      <c r="G72" s="13"/>
    </row>
    <row r="73" spans="1:11">
      <c r="A73" s="13" t="str">
        <f>"SLT20230"</f>
        <v>SLT20230</v>
      </c>
      <c r="B73" s="13" t="str">
        <f>"SLITTER 1,55 X 151"</f>
        <v>SLITTER 1,55 X 151</v>
      </c>
      <c r="C73" s="13"/>
      <c r="D73" s="13"/>
      <c r="E73" s="13" t="str">
        <f>"SLT20665"</f>
        <v>SLT20665</v>
      </c>
      <c r="F73" s="13" t="str">
        <f>"SLITTER 2,25 X 76"</f>
        <v>SLITTER 2,25 X 76</v>
      </c>
      <c r="G73" s="13"/>
    </row>
    <row r="74" spans="1:11">
      <c r="A74" s="13" t="str">
        <f>"SLT20235"</f>
        <v>SLT20235</v>
      </c>
      <c r="B74" s="13" t="str">
        <f>"SLITTER 1,55 X 158"</f>
        <v>SLITTER 1,55 X 158</v>
      </c>
      <c r="C74" s="13"/>
      <c r="D74" s="13"/>
      <c r="E74" s="13" t="str">
        <f>"SLT20670"</f>
        <v>SLT20670</v>
      </c>
      <c r="F74" s="13" t="str">
        <f>"SLITTER 2,25 X 81"</f>
        <v>SLITTER 2,25 X 81</v>
      </c>
      <c r="G74" s="13"/>
    </row>
    <row r="75" spans="1:11">
      <c r="A75" s="13" t="str">
        <f>"SLT20240"</f>
        <v>SLT20240</v>
      </c>
      <c r="B75" s="13" t="str">
        <f>"SLITTER 1,55 X 179"</f>
        <v>SLITTER 1,55 X 179</v>
      </c>
      <c r="C75" s="13"/>
      <c r="D75" s="13"/>
      <c r="E75" s="13" t="str">
        <f>"SLT20675"</f>
        <v>SLT20675</v>
      </c>
      <c r="F75" s="13" t="str">
        <f>"SLITTER 2,25 X 97"</f>
        <v>SLITTER 2,25 X 97</v>
      </c>
      <c r="G75" s="13"/>
    </row>
    <row r="76" spans="1:11">
      <c r="A76" s="13" t="str">
        <f>"SLT20245"</f>
        <v>SLT20245</v>
      </c>
      <c r="B76" s="13" t="str">
        <f>"SLITTER 1,55 X 188"</f>
        <v>SLITTER 1,55 X 188</v>
      </c>
      <c r="C76" s="13"/>
      <c r="D76" s="13"/>
      <c r="E76" s="13" t="str">
        <f>"SLT20680"</f>
        <v>SLT20680</v>
      </c>
      <c r="F76" s="13" t="str">
        <f>"SLITTER 2,25 X 102"</f>
        <v>SLITTER 2,25 X 102</v>
      </c>
      <c r="G76" s="13"/>
    </row>
    <row r="77" spans="1:11">
      <c r="A77" s="13" t="str">
        <f>"SLT20250"</f>
        <v>SLT20250</v>
      </c>
      <c r="B77" s="13" t="str">
        <f>"SLITTER 1,55 X 199"</f>
        <v>SLITTER 1,55 X 199</v>
      </c>
      <c r="C77" s="13"/>
      <c r="D77" s="13"/>
      <c r="E77" s="13" t="str">
        <f>"SLT20685"</f>
        <v>SLT20685</v>
      </c>
      <c r="F77" s="13" t="str">
        <f>"SLITTER 2,25 X 106"</f>
        <v>SLITTER 2,25 X 106</v>
      </c>
      <c r="G77" s="13"/>
    </row>
    <row r="78" spans="1:11">
      <c r="A78" s="13" t="str">
        <f>"SLT20255"</f>
        <v>SLT20255</v>
      </c>
      <c r="B78" s="13" t="str">
        <f>"SLITTER 1,55 X 238"</f>
        <v>SLITTER 1,55 X 238</v>
      </c>
      <c r="C78" s="13"/>
      <c r="D78" s="13"/>
      <c r="E78" s="13" t="str">
        <f>"SLT20690"</f>
        <v>SLT20690</v>
      </c>
      <c r="F78" s="13" t="str">
        <f>"SLITTER 2,25 X 117"</f>
        <v>SLITTER 2,25 X 117</v>
      </c>
      <c r="G78" s="13"/>
    </row>
    <row r="79" spans="1:11">
      <c r="A79" s="13" t="str">
        <f>"SLT20260"</f>
        <v>SLT20260</v>
      </c>
      <c r="B79" s="13" t="str">
        <f>"SLITTER 1,55 X 278"</f>
        <v>SLITTER 1,55 X 278</v>
      </c>
      <c r="C79" s="13"/>
      <c r="D79" s="13"/>
      <c r="E79" s="13" t="str">
        <f>"SLT20695"</f>
        <v>SLT20695</v>
      </c>
      <c r="F79" s="13" t="str">
        <f>"SLITTER 2,25 X 129"</f>
        <v>SLITTER 2,25 X 129</v>
      </c>
      <c r="G79" s="13"/>
    </row>
    <row r="80" spans="1:11">
      <c r="A80" s="13" t="str">
        <f>"SLT20265"</f>
        <v>SLT20265</v>
      </c>
      <c r="B80" s="13" t="str">
        <f>"SLITTER 1,55 X 318"</f>
        <v>SLITTER 1,55 X 318</v>
      </c>
      <c r="C80" s="13"/>
      <c r="D80" s="13"/>
      <c r="E80" s="13" t="str">
        <f>"SLT20700"</f>
        <v>SLT20700</v>
      </c>
      <c r="F80" s="13" t="str">
        <f>"SLITTER 2,25 X 137"</f>
        <v>SLITTER 2,25 X 137</v>
      </c>
      <c r="G80" s="13"/>
    </row>
    <row r="81" spans="1:7">
      <c r="A81" s="13" t="str">
        <f>"SLT20270"</f>
        <v>SLT20270</v>
      </c>
      <c r="B81" s="13" t="str">
        <f>"SLITTER 1,55 X 364"</f>
        <v>SLITTER 1,55 X 364</v>
      </c>
      <c r="C81" s="13"/>
      <c r="D81" s="13"/>
      <c r="E81" s="13" t="str">
        <f>"SLT20705"</f>
        <v>SLT20705</v>
      </c>
      <c r="F81" s="13" t="str">
        <f>"SLITTER 2,25 X 148"</f>
        <v>SLITTER 2,25 X 148</v>
      </c>
      <c r="G81" s="13"/>
    </row>
    <row r="82" spans="1:7">
      <c r="A82" s="13" t="str">
        <f>"SLT20275"</f>
        <v>SLT20275</v>
      </c>
      <c r="B82" s="13" t="str">
        <f>"SLITTER 1,55 X 399"</f>
        <v>SLITTER 1,55 X 399</v>
      </c>
      <c r="C82" s="13"/>
      <c r="D82" s="13"/>
      <c r="E82" s="13" t="str">
        <f>"SLT20710"</f>
        <v>SLT20710</v>
      </c>
      <c r="F82" s="13" t="str">
        <f>"SLITTER 2,25 X 157"</f>
        <v>SLITTER 2,25 X 157</v>
      </c>
      <c r="G82" s="13"/>
    </row>
    <row r="83" spans="1:7">
      <c r="A83" s="13" t="str">
        <f>"SLT20280"</f>
        <v>SLT20280</v>
      </c>
      <c r="B83" s="13" t="str">
        <f>"SLITTER 1,55 X 298"</f>
        <v>SLITTER 1,55 X 298</v>
      </c>
      <c r="C83" s="13"/>
      <c r="D83" s="13"/>
      <c r="E83" s="13" t="str">
        <f>"SLT20715"</f>
        <v>SLT20715</v>
      </c>
      <c r="F83" s="13" t="str">
        <f>"SLITTER 2,25 X 176"</f>
        <v>SLITTER 2,25 X 176</v>
      </c>
      <c r="G83" s="13"/>
    </row>
    <row r="84" spans="1:7">
      <c r="A84" s="13" t="s">
        <v>115</v>
      </c>
      <c r="B84" s="13" t="s">
        <v>116</v>
      </c>
      <c r="C84" s="13"/>
      <c r="D84" s="13"/>
      <c r="E84" s="13" t="str">
        <f>"SLT20720"</f>
        <v>SLT20720</v>
      </c>
      <c r="F84" s="13" t="str">
        <f>"SLITTER 2,25 X 187"</f>
        <v>SLITTER 2,25 X 187</v>
      </c>
      <c r="G84" s="13"/>
    </row>
    <row r="85" spans="1:7">
      <c r="A85" s="13" t="s">
        <v>117</v>
      </c>
      <c r="B85" s="13" t="s">
        <v>118</v>
      </c>
      <c r="C85" s="13"/>
      <c r="D85" s="13"/>
      <c r="E85" s="13" t="str">
        <f>"SLT20725"</f>
        <v>SLT20725</v>
      </c>
      <c r="F85" s="13" t="str">
        <f>"SLITTER 2,25 X 197"</f>
        <v>SLITTER 2,25 X 197</v>
      </c>
      <c r="G85" s="13"/>
    </row>
    <row r="86" spans="1:7">
      <c r="A86" s="13" t="str">
        <f>"SLT20285"</f>
        <v>SLT20285</v>
      </c>
      <c r="B86" s="13" t="str">
        <f>"SLITTER 1,80 X 78"</f>
        <v>SLITTER 1,80 X 78</v>
      </c>
      <c r="C86" s="13"/>
      <c r="D86" s="13"/>
      <c r="E86" s="13" t="str">
        <f>"SLT20730"</f>
        <v>SLT20730</v>
      </c>
      <c r="F86" s="13" t="str">
        <f>"SLITTER 2,25 X 238"</f>
        <v>SLITTER 2,25 X 238</v>
      </c>
      <c r="G86" s="13"/>
    </row>
    <row r="87" spans="1:7">
      <c r="A87" s="13" t="str">
        <f>"SLT20290"</f>
        <v>SLT20290</v>
      </c>
      <c r="B87" s="13" t="str">
        <f>"SLITTER 1,80 X 82"</f>
        <v>SLITTER 1,80 X 82</v>
      </c>
      <c r="C87" s="13"/>
      <c r="D87" s="13"/>
      <c r="E87" s="13" t="str">
        <f>"SLT20735"</f>
        <v>SLT20735</v>
      </c>
      <c r="F87" s="13" t="str">
        <f>"SLITTER 2,25 X 277"</f>
        <v>SLITTER 2,25 X 277</v>
      </c>
      <c r="G87" s="13"/>
    </row>
    <row r="88" spans="1:7">
      <c r="A88" s="13" t="str">
        <f>"SLT20295"</f>
        <v>SLT20295</v>
      </c>
      <c r="B88" s="13" t="str">
        <f>"SLITTER 1,80 X 98"</f>
        <v>SLITTER 1,80 X 98</v>
      </c>
      <c r="C88" s="13"/>
      <c r="D88" s="13"/>
      <c r="E88" s="13" t="str">
        <f>"SLT20740"</f>
        <v>SLT20740</v>
      </c>
      <c r="F88" s="13" t="str">
        <f>"SLITTER 2,25 X 316"</f>
        <v>SLITTER 2,25 X 316</v>
      </c>
      <c r="G88" s="13"/>
    </row>
    <row r="89" spans="1:7">
      <c r="A89" s="13" t="str">
        <f>"SLT20300"</f>
        <v>SLT20300</v>
      </c>
      <c r="B89" s="13" t="str">
        <f>"SLITTER 1,80 X 103"</f>
        <v>SLITTER 1,80 X 103</v>
      </c>
      <c r="C89" s="13"/>
      <c r="D89" s="13"/>
      <c r="E89" s="13" t="str">
        <f>"SLT20745"</f>
        <v>SLT20745</v>
      </c>
      <c r="F89" s="13" t="str">
        <f>"SLITTER 2,25 X 360"</f>
        <v>SLITTER 2,25 X 360</v>
      </c>
      <c r="G89" s="13"/>
    </row>
    <row r="90" spans="1:7">
      <c r="A90" s="13" t="str">
        <f>"SLT20305"</f>
        <v>SLT20305</v>
      </c>
      <c r="B90" s="13" t="str">
        <f>"SLITTER 1,80 X 107"</f>
        <v>SLITTER 1,80 X 107</v>
      </c>
      <c r="C90" s="13"/>
      <c r="D90" s="13"/>
      <c r="E90" s="13" t="str">
        <f>"SLT20750"</f>
        <v>SLT20750</v>
      </c>
      <c r="F90" s="13" t="str">
        <f>"SLITTER 2,25 X 396"</f>
        <v>SLITTER 2,25 X 396</v>
      </c>
      <c r="G90" s="13"/>
    </row>
    <row r="91" spans="1:7">
      <c r="A91" s="13" t="str">
        <f>"SLT20310"</f>
        <v>SLT20310</v>
      </c>
      <c r="B91" s="13" t="str">
        <f>"SLITTER 1,80 X 118"</f>
        <v>SLITTER 1,80 X 118</v>
      </c>
      <c r="C91" s="13"/>
      <c r="D91" s="13"/>
      <c r="E91" s="13" t="str">
        <f>"SLT20755"</f>
        <v>SLT20755</v>
      </c>
      <c r="F91" s="13" t="str">
        <f>"SLITTER 2,25 X 296"</f>
        <v>SLITTER 2,25 X 296</v>
      </c>
      <c r="G91" s="13"/>
    </row>
    <row r="92" spans="1:7">
      <c r="A92" s="13" t="str">
        <f>"SLT20315"</f>
        <v>SLT20315</v>
      </c>
      <c r="B92" s="13" t="str">
        <f>"SLITTER 1,80 X 130"</f>
        <v>SLITTER 1,80 X 130</v>
      </c>
      <c r="C92" s="13"/>
      <c r="D92" s="13"/>
      <c r="E92" s="13" t="str">
        <f>"SLT20760"</f>
        <v>SLT20760</v>
      </c>
      <c r="F92" s="13" t="str">
        <f>"SLITTER 2,65 X 76"</f>
        <v>SLITTER 2,65 X 76</v>
      </c>
      <c r="G92" s="13"/>
    </row>
    <row r="93" spans="1:7">
      <c r="A93" s="13" t="str">
        <f>"SLT20320"</f>
        <v>SLT20320</v>
      </c>
      <c r="B93" s="13" t="str">
        <f>"SLITTER 1,80 X 138"</f>
        <v>SLITTER 1,80 X 138</v>
      </c>
      <c r="C93" s="13"/>
      <c r="D93" s="13"/>
      <c r="E93" s="13" t="str">
        <f>"SLT20765"</f>
        <v>SLT20765</v>
      </c>
      <c r="F93" s="13" t="str">
        <f>"SLITTER 2,65 X 80"</f>
        <v>SLITTER 2,65 X 80</v>
      </c>
      <c r="G93" s="13"/>
    </row>
    <row r="94" spans="1:7">
      <c r="A94" s="13" t="str">
        <f>"SLT20325"</f>
        <v>SLT20325</v>
      </c>
      <c r="B94" s="13" t="str">
        <f>"SLITTER 1,80 X 149"</f>
        <v>SLITTER 1,80 X 149</v>
      </c>
      <c r="C94" s="13"/>
      <c r="D94" s="13"/>
      <c r="E94" s="13" t="str">
        <f>"SLT20770"</f>
        <v>SLT20770</v>
      </c>
      <c r="F94" s="13" t="str">
        <f>"SLITTER 2,65 X 98"</f>
        <v>SLITTER 2,65 X 98</v>
      </c>
      <c r="G94" s="13"/>
    </row>
    <row r="95" spans="1:7">
      <c r="A95" s="13" t="str">
        <f>"SLT20330"</f>
        <v>SLT20330</v>
      </c>
      <c r="B95" s="13" t="str">
        <f>"SLITTER 1,80 X 158"</f>
        <v>SLITTER 1,80 X 158</v>
      </c>
      <c r="C95" s="13"/>
      <c r="D95" s="13"/>
      <c r="E95" s="13" t="str">
        <f>"SLT20775"</f>
        <v>SLT20775</v>
      </c>
      <c r="F95" s="13" t="str">
        <f>"SLITTER 2,65 X 101"</f>
        <v>SLITTER 2,65 X 101</v>
      </c>
      <c r="G95" s="13"/>
    </row>
    <row r="96" spans="1:7">
      <c r="A96" s="13" t="str">
        <f>"SLT20335"</f>
        <v>SLT20335</v>
      </c>
      <c r="B96" s="13" t="str">
        <f>"SLITTER 1,80 X 177"</f>
        <v>SLITTER 1,80 X 177</v>
      </c>
      <c r="C96" s="13"/>
      <c r="D96" s="13"/>
      <c r="E96" s="13" t="str">
        <f>"SLT20780"</f>
        <v>SLT20780</v>
      </c>
      <c r="F96" s="13" t="str">
        <f>"SLITTER 2,65 X 105"</f>
        <v>SLITTER 2,65 X 105</v>
      </c>
      <c r="G96" s="13"/>
    </row>
    <row r="97" spans="1:7">
      <c r="A97" s="13" t="str">
        <f>"SLT20340"</f>
        <v>SLT20340</v>
      </c>
      <c r="B97" s="13" t="str">
        <f>"SLITTER 1,80 X 187"</f>
        <v>SLITTER 1,80 X 187</v>
      </c>
      <c r="C97" s="13"/>
      <c r="D97" s="13"/>
      <c r="E97" s="13" t="str">
        <f>"SLT20785"</f>
        <v>SLT20785</v>
      </c>
      <c r="F97" s="13" t="str">
        <f>"SLITTER 2,65 X 115"</f>
        <v>SLITTER 2,65 X 115</v>
      </c>
      <c r="G97" s="13"/>
    </row>
    <row r="98" spans="1:7">
      <c r="A98" s="13" t="str">
        <f>"SLT20345"</f>
        <v>SLT20345</v>
      </c>
      <c r="B98" s="13" t="str">
        <f>"SLITTER 1,80 X 197"</f>
        <v>SLITTER 1,80 X 197</v>
      </c>
      <c r="C98" s="13"/>
      <c r="D98" s="13"/>
      <c r="E98" s="13" t="str">
        <f>"SLT20790"</f>
        <v>SLT20790</v>
      </c>
      <c r="F98" s="13" t="str">
        <f>"SLITTER 2,65 X 128"</f>
        <v>SLITTER 2,65 X 128</v>
      </c>
      <c r="G98" s="13"/>
    </row>
    <row r="99" spans="1:7">
      <c r="A99" s="13" t="str">
        <f>"SLT20350"</f>
        <v>SLT20350</v>
      </c>
      <c r="B99" s="13" t="str">
        <f>"SLITTER 1,80 X 238"</f>
        <v>SLITTER 1,80 X 238</v>
      </c>
      <c r="C99" s="13"/>
      <c r="D99" s="13"/>
      <c r="E99" s="13" t="str">
        <f>"SLT20795"</f>
        <v>SLT20795</v>
      </c>
      <c r="F99" s="13" t="str">
        <f>"SLITTER 2,65 X 135"</f>
        <v>SLITTER 2,65 X 135</v>
      </c>
      <c r="G99" s="13"/>
    </row>
    <row r="100" spans="1:7">
      <c r="A100" s="13" t="str">
        <f>"SLT20355"</f>
        <v>SLT20355</v>
      </c>
      <c r="B100" s="13" t="str">
        <f>"SLITTER 1,80 X 278"</f>
        <v>SLITTER 1,80 X 278</v>
      </c>
      <c r="C100" s="13"/>
      <c r="D100" s="13"/>
      <c r="E100" s="13" t="str">
        <f>"SLT20800"</f>
        <v>SLT20800</v>
      </c>
      <c r="F100" s="13" t="str">
        <f>"SLITTER 2,65 X 146"</f>
        <v>SLITTER 2,65 X 146</v>
      </c>
      <c r="G100" s="13"/>
    </row>
    <row r="101" spans="1:7">
      <c r="A101" s="13" t="str">
        <f>"SLT20360"</f>
        <v>SLT20360</v>
      </c>
      <c r="B101" s="13" t="str">
        <f>"SLITTER 1,80 X 317"</f>
        <v>SLITTER 1,80 X 317</v>
      </c>
      <c r="C101" s="13"/>
      <c r="D101" s="13"/>
      <c r="E101" s="13" t="str">
        <f>"SLT20805"</f>
        <v>SLT20805</v>
      </c>
      <c r="F101" s="13" t="str">
        <f>"SLITTER 2,65 X 156"</f>
        <v>SLITTER 2,65 X 156</v>
      </c>
      <c r="G101" s="13"/>
    </row>
    <row r="102" spans="1:7">
      <c r="A102" s="13" t="str">
        <f>"SLT20365"</f>
        <v>SLT20365</v>
      </c>
      <c r="B102" s="13" t="str">
        <f>"SLITTER 1,80 X 363"</f>
        <v>SLITTER 1,80 X 363</v>
      </c>
      <c r="C102" s="13"/>
      <c r="D102" s="13"/>
      <c r="E102" s="13" t="str">
        <f>"SLT20810"</f>
        <v>SLT20810</v>
      </c>
      <c r="F102" s="13" t="str">
        <f>"SLITTER 2,65 X 175"</f>
        <v>SLITTER 2,65 X 175</v>
      </c>
      <c r="G102" s="13"/>
    </row>
    <row r="103" spans="1:7">
      <c r="A103" s="13" t="str">
        <f>"SLT20370"</f>
        <v>SLT20370</v>
      </c>
      <c r="B103" s="13" t="str">
        <f>"SLITTER 1,80 X 399"</f>
        <v>SLITTER 1,80 X 399</v>
      </c>
      <c r="C103" s="13"/>
      <c r="D103" s="13"/>
      <c r="E103" s="13" t="str">
        <f>"SLT20815"</f>
        <v>SLT20815</v>
      </c>
      <c r="F103" s="13" t="str">
        <f>"SLITTER 2,65 X 184"</f>
        <v>SLITTER 2,65 X 184</v>
      </c>
      <c r="G103" s="13"/>
    </row>
    <row r="104" spans="1:7">
      <c r="A104" s="13" t="str">
        <f>"SLT20375"</f>
        <v>SLT20375</v>
      </c>
      <c r="B104" s="13" t="str">
        <f>"SLITTER 1,80 X 298"</f>
        <v>SLITTER 1,80 X 298</v>
      </c>
      <c r="C104" s="13"/>
      <c r="D104" s="13"/>
      <c r="E104" s="13" t="str">
        <f>"SLT20820"</f>
        <v>SLT20820</v>
      </c>
      <c r="F104" s="13" t="str">
        <f>"SLITTER 2,65 X 195"</f>
        <v>SLITTER 2,65 X 195</v>
      </c>
      <c r="G104" s="13"/>
    </row>
    <row r="105" spans="1:7">
      <c r="A105" s="13" t="str">
        <f>"SLT20380"</f>
        <v>SLT20380</v>
      </c>
      <c r="B105" s="13" t="str">
        <f>"SLITTER 1,90 X 78"</f>
        <v>SLITTER 1,90 X 78</v>
      </c>
      <c r="C105" s="13"/>
      <c r="D105" s="13"/>
      <c r="E105" s="13" t="str">
        <f>"SLT20825"</f>
        <v>SLT20825</v>
      </c>
      <c r="F105" s="13" t="str">
        <f>"SLITTER 2,65 X 236"</f>
        <v>SLITTER 2,65 X 236</v>
      </c>
      <c r="G105" s="13"/>
    </row>
    <row r="106" spans="1:7">
      <c r="A106" s="13" t="str">
        <f>"SLT20385"</f>
        <v>SLT20385</v>
      </c>
      <c r="B106" s="13" t="str">
        <f>"SLITTER 1,90 X 82"</f>
        <v>SLITTER 1,90 X 82</v>
      </c>
      <c r="C106" s="13"/>
      <c r="D106" s="13"/>
      <c r="E106" s="13" t="str">
        <f>"SLT20830"</f>
        <v>SLT20830</v>
      </c>
      <c r="F106" s="13" t="str">
        <f>"SLITTER 2,65 X 275"</f>
        <v>SLITTER 2,65 X 275</v>
      </c>
      <c r="G106" s="13"/>
    </row>
    <row r="107" spans="1:7">
      <c r="A107" s="13" t="str">
        <f>"SLT20390"</f>
        <v>SLT20390</v>
      </c>
      <c r="B107" s="13" t="str">
        <f>"SLITTER 1,90 X 97"</f>
        <v>SLITTER 1,90 X 97</v>
      </c>
      <c r="C107" s="13"/>
      <c r="D107" s="13"/>
      <c r="E107" s="13" t="str">
        <f>"SLT20835"</f>
        <v>SLT20835</v>
      </c>
      <c r="F107" s="13" t="str">
        <f>"SLITTER 2,65 X 316"</f>
        <v>SLITTER 2,65 X 316</v>
      </c>
      <c r="G107" s="13"/>
    </row>
    <row r="108" spans="1:7">
      <c r="A108" s="13" t="str">
        <f>"SLT20395"</f>
        <v>SLT20395</v>
      </c>
      <c r="B108" s="13" t="str">
        <f>"SLITTER 1,90 X 103"</f>
        <v>SLITTER 1,90 X 103</v>
      </c>
      <c r="C108" s="13"/>
      <c r="D108" s="13"/>
      <c r="E108" s="13" t="str">
        <f>"SLT20840"</f>
        <v>SLT20840</v>
      </c>
      <c r="F108" s="13" t="str">
        <f>"SLITTER 2,65 X 359"</f>
        <v>SLITTER 2,65 X 359</v>
      </c>
      <c r="G108" s="13"/>
    </row>
    <row r="109" spans="1:7">
      <c r="A109" s="13" t="str">
        <f>"SLT20400"</f>
        <v>SLT20400</v>
      </c>
      <c r="B109" s="13" t="str">
        <f>"SLITTER 1,90 X 107"</f>
        <v>SLITTER 1,90 X 107</v>
      </c>
      <c r="C109" s="13"/>
      <c r="D109" s="13"/>
      <c r="E109" s="13" t="str">
        <f>"SLT20845"</f>
        <v>SLT20845</v>
      </c>
      <c r="F109" s="13" t="str">
        <f>"SLITTER 2,65 X 396"</f>
        <v>SLITTER 2,65 X 396</v>
      </c>
      <c r="G109" s="13"/>
    </row>
    <row r="110" spans="1:7">
      <c r="A110" s="13" t="str">
        <f>"SLT20405"</f>
        <v>SLT20405</v>
      </c>
      <c r="B110" s="13" t="str">
        <f>"SLITTER 1,90 X 118"</f>
        <v>SLITTER 1,90 X 118</v>
      </c>
      <c r="C110" s="13"/>
      <c r="E110" s="13" t="str">
        <f>"SLT20850"</f>
        <v>SLT20850</v>
      </c>
      <c r="F110" s="13" t="str">
        <f>"SLITTER 2,65 X 296"</f>
        <v>SLITTER 2,65 X 296</v>
      </c>
      <c r="G110" s="13"/>
    </row>
    <row r="111" spans="1:7">
      <c r="A111" s="13" t="str">
        <f>"SLT20410"</f>
        <v>SLT20410</v>
      </c>
      <c r="B111" s="13" t="str">
        <f>"SLITTER 1,90 X 130"</f>
        <v>SLITTER 1,90 X 130</v>
      </c>
      <c r="C111" s="13"/>
      <c r="E111" s="13" t="str">
        <f>"SLT20855"</f>
        <v>SLT20855</v>
      </c>
      <c r="F111" s="13" t="str">
        <f>"SLITTER 3,00 X 76"</f>
        <v>SLITTER 3,00 X 76</v>
      </c>
      <c r="G111" s="13"/>
    </row>
    <row r="112" spans="1:7">
      <c r="A112" s="13" t="str">
        <f>"SLT20415"</f>
        <v>SLT20415</v>
      </c>
      <c r="B112" s="13" t="str">
        <f>"SLITTER 1,90 X 138"</f>
        <v>SLITTER 1,90 X 138</v>
      </c>
      <c r="C112" s="13"/>
      <c r="E112" s="13" t="str">
        <f>"SLT20860"</f>
        <v>SLT20860</v>
      </c>
      <c r="F112" s="13" t="str">
        <f>"SLITTER 3,00 X 79"</f>
        <v>SLITTER 3,00 X 79</v>
      </c>
      <c r="G112" s="13"/>
    </row>
    <row r="113" spans="1:7">
      <c r="A113" s="13" t="str">
        <f>"SLT20420"</f>
        <v>SLT20420</v>
      </c>
      <c r="B113" s="13" t="str">
        <f>"SLITTER 1,90 X 149"</f>
        <v>SLITTER 1,90 X 149</v>
      </c>
      <c r="C113" s="13"/>
      <c r="E113" s="13" t="str">
        <f>"SLT20865"</f>
        <v>SLT20865</v>
      </c>
      <c r="F113" s="13" t="str">
        <f>"SLITTER 3,00 X 99"</f>
        <v>SLITTER 3,00 X 99</v>
      </c>
      <c r="G113" s="13"/>
    </row>
    <row r="114" spans="1:7">
      <c r="A114" s="13" t="str">
        <f>"SLT20425"</f>
        <v>SLT20425</v>
      </c>
      <c r="B114" s="13" t="str">
        <f>"SLITTER 1,90 X 157"</f>
        <v>SLITTER 1,90 X 157</v>
      </c>
      <c r="C114" s="13"/>
      <c r="E114" s="13" t="str">
        <f>"SLT20870"</f>
        <v>SLT20870</v>
      </c>
      <c r="F114" s="13" t="str">
        <f>"SLITTER 3,00 X 100"</f>
        <v>SLITTER 3,00 X 100</v>
      </c>
      <c r="G114" s="13"/>
    </row>
    <row r="115" spans="1:7">
      <c r="A115" s="13" t="str">
        <f>"SLT20430"</f>
        <v>SLT20430</v>
      </c>
      <c r="B115" s="13" t="str">
        <f>"SLITTER 1,90 X 177"</f>
        <v>SLITTER 1,90 X 177</v>
      </c>
      <c r="C115" s="13"/>
      <c r="E115" s="13" t="str">
        <f>"SLT20875"</f>
        <v>SLT20875</v>
      </c>
      <c r="F115" s="13" t="str">
        <f>"SLITTER 3,00 X 104"</f>
        <v>SLITTER 3,00 X 104</v>
      </c>
      <c r="G115" s="13"/>
    </row>
    <row r="116" spans="1:7">
      <c r="A116" s="13" t="str">
        <f>"SLT20435"</f>
        <v>SLT20435</v>
      </c>
      <c r="B116" s="13" t="str">
        <f>"SLITTER 1,90 X 187"</f>
        <v>SLITTER 1,90 X 187</v>
      </c>
      <c r="C116" s="13"/>
      <c r="E116" s="13" t="str">
        <f>"SLT20880"</f>
        <v>SLT20880</v>
      </c>
      <c r="F116" s="13" t="str">
        <f>"SLITTER 3,00 X 114"</f>
        <v>SLITTER 3,00 X 114</v>
      </c>
      <c r="G116" s="13"/>
    </row>
    <row r="117" spans="1:7">
      <c r="A117" s="13" t="str">
        <f>"SLT20440"</f>
        <v>SLT20440</v>
      </c>
      <c r="B117" s="13" t="str">
        <f>"SLITTER 1,90 X 197"</f>
        <v>SLITTER 1,90 X 197</v>
      </c>
      <c r="C117" s="13"/>
      <c r="E117" s="13" t="str">
        <f>"SLT20885"</f>
        <v>SLT20885</v>
      </c>
      <c r="F117" s="13" t="str">
        <f>"SLITTER 3,00 X 128"</f>
        <v>SLITTER 3,00 X 128</v>
      </c>
      <c r="G117" s="13"/>
    </row>
    <row r="118" spans="1:7">
      <c r="A118" s="13" t="str">
        <f>"SLT20445"</f>
        <v>SLT20445</v>
      </c>
      <c r="B118" s="13" t="str">
        <f>"SLITTER 1,90 X 237"</f>
        <v>SLITTER 1,90 X 237</v>
      </c>
      <c r="C118" s="13"/>
      <c r="E118" s="13" t="str">
        <f>"SLT20890"</f>
        <v>SLT20890</v>
      </c>
      <c r="F118" s="13" t="str">
        <f>"SLITTER 3,00 X 134"</f>
        <v>SLITTER 3,00 X 134</v>
      </c>
      <c r="G118" s="13"/>
    </row>
    <row r="119" spans="1:7">
      <c r="A119" s="13" t="str">
        <f>"SLT20450"</f>
        <v>SLT20450</v>
      </c>
      <c r="B119" s="13" t="str">
        <f>"SLITTER 1,90 X 278"</f>
        <v>SLITTER 1,90 X 278</v>
      </c>
      <c r="C119" s="13"/>
      <c r="E119" s="13" t="str">
        <f>"SLT20895"</f>
        <v>SLT20895</v>
      </c>
      <c r="F119" s="13" t="str">
        <f>"SLITTER 3,00 X 146"</f>
        <v>SLITTER 3,00 X 146</v>
      </c>
      <c r="G119" s="13"/>
    </row>
    <row r="120" spans="1:7">
      <c r="A120" s="13" t="str">
        <f>"SLT20455"</f>
        <v>SLT20455</v>
      </c>
      <c r="B120" s="13" t="str">
        <f>"SLITTER 1,90 X 317"</f>
        <v>SLITTER 1,90 X 317</v>
      </c>
      <c r="C120" s="13"/>
      <c r="E120" s="13" t="str">
        <f>"SLT20900"</f>
        <v>SLT20900</v>
      </c>
      <c r="F120" s="13" t="str">
        <f>"SLITTER 3,00 X 154"</f>
        <v>SLITTER 3,00 X 154</v>
      </c>
      <c r="G120" s="13"/>
    </row>
    <row r="121" spans="1:7">
      <c r="A121" s="13" t="str">
        <f>"SLT20460"</f>
        <v>SLT20460</v>
      </c>
      <c r="B121" s="13" t="str">
        <f>"SLITTER 1,90 X 363"</f>
        <v>SLITTER 1,90 X 363</v>
      </c>
      <c r="C121" s="13"/>
      <c r="E121" s="13" t="str">
        <f>"SLT20905"</f>
        <v>SLT20905</v>
      </c>
      <c r="F121" s="13" t="str">
        <f>"SLITTER 3,00 X 175"</f>
        <v>SLITTER 3,00 X 175</v>
      </c>
      <c r="G121" s="13"/>
    </row>
    <row r="122" spans="1:7">
      <c r="A122" s="13" t="str">
        <f>"SLT20465"</f>
        <v>SLT20465</v>
      </c>
      <c r="B122" s="13" t="str">
        <f>"SLITTER 1,90 X 399"</f>
        <v>SLITTER 1,90 X 399</v>
      </c>
      <c r="C122" s="13"/>
      <c r="E122" s="13" t="str">
        <f>"SLT20910"</f>
        <v>SLT20910</v>
      </c>
      <c r="F122" s="13" t="str">
        <f>"SLITTER 3,00 X 183"</f>
        <v>SLITTER 3,00 X 183</v>
      </c>
      <c r="G122" s="13"/>
    </row>
    <row r="123" spans="1:7">
      <c r="A123" s="13" t="str">
        <f>"SLT20470"</f>
        <v>SLT20470</v>
      </c>
      <c r="B123" s="13" t="str">
        <f>"SLITTER 1,90 X 297"</f>
        <v>SLITTER 1,90 X 297</v>
      </c>
      <c r="C123" s="13"/>
      <c r="E123" s="13" t="str">
        <f>"SLT20915"</f>
        <v>SLT20915</v>
      </c>
      <c r="F123" s="13" t="str">
        <f>"SLITTER 3,00 X 194"</f>
        <v>SLITTER 3,00 X 194</v>
      </c>
      <c r="G123" s="13"/>
    </row>
    <row r="124" spans="1:7" ht="15" thickBot="1">
      <c r="A124" s="24" t="s">
        <v>119</v>
      </c>
      <c r="B124" s="25" t="s">
        <v>120</v>
      </c>
      <c r="C124" s="13"/>
      <c r="E124" s="13" t="str">
        <f>"SLT20920"</f>
        <v>SLT20920</v>
      </c>
      <c r="F124" s="13" t="str">
        <f>"SLITTER 3,00 X 234"</f>
        <v>SLITTER 3,00 X 234</v>
      </c>
      <c r="G124" s="13"/>
    </row>
  </sheetData>
  <mergeCells count="28">
    <mergeCell ref="F33:G33"/>
    <mergeCell ref="AC6:AC7"/>
    <mergeCell ref="W6:W7"/>
    <mergeCell ref="Y6:Y7"/>
    <mergeCell ref="Z6:Z7"/>
    <mergeCell ref="AA6:AA7"/>
    <mergeCell ref="AB6:AB7"/>
    <mergeCell ref="R6:R7"/>
    <mergeCell ref="S6:S7"/>
    <mergeCell ref="T6:T7"/>
    <mergeCell ref="U6:U7"/>
    <mergeCell ref="V6:V7"/>
    <mergeCell ref="G3:U5"/>
    <mergeCell ref="Y3:AA4"/>
    <mergeCell ref="A6:B6"/>
    <mergeCell ref="C6:C7"/>
    <mergeCell ref="E6:E7"/>
    <mergeCell ref="F6:F7"/>
    <mergeCell ref="G6:G7"/>
    <mergeCell ref="J6:J7"/>
    <mergeCell ref="K6:K7"/>
    <mergeCell ref="L6:L7"/>
    <mergeCell ref="X6:X7"/>
    <mergeCell ref="M6:M7"/>
    <mergeCell ref="N6:N7"/>
    <mergeCell ref="O6:O7"/>
    <mergeCell ref="P6:P7"/>
    <mergeCell ref="Q6:Q7"/>
  </mergeCells>
  <pageMargins left="0.511811024" right="0.511811024" top="0.78740157499999996" bottom="0.78740157499999996" header="0.31496062000000002" footer="0.31496062000000002"/>
  <pageSetup paperSize="9" scale="4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defaultRowHeight="14.4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2942F1796FC44EBEC94A4AF4AD0416" ma:contentTypeVersion="16" ma:contentTypeDescription="Crie um novo documento." ma:contentTypeScope="" ma:versionID="28f4359c358d84f348536082e1c6e332">
  <xsd:schema xmlns:xsd="http://www.w3.org/2001/XMLSchema" xmlns:xs="http://www.w3.org/2001/XMLSchema" xmlns:p="http://schemas.microsoft.com/office/2006/metadata/properties" xmlns:ns2="c7d00454-a9ab-403e-9cd7-d832607166a8" xmlns:ns3="b6df9a54-876e-4b9c-822f-d1470c5a50dc" targetNamespace="http://schemas.microsoft.com/office/2006/metadata/properties" ma:root="true" ma:fieldsID="02a27e77c38b99612700059ddac41cdc" ns2:_="" ns3:_="">
    <xsd:import namespace="c7d00454-a9ab-403e-9cd7-d832607166a8"/>
    <xsd:import namespace="b6df9a54-876e-4b9c-822f-d1470c5a50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00454-a9ab-403e-9cd7-d832607166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4110e3-a12b-4da1-bb47-95c4bbe296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f9a54-876e-4b9c-822f-d1470c5a50d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6ab5a39-0905-40c6-aa2e-b7d6059abfa4}" ma:internalName="TaxCatchAll" ma:showField="CatchAllData" ma:web="b6df9a54-876e-4b9c-822f-d1470c5a50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d00454-a9ab-403e-9cd7-d832607166a8">
      <Terms xmlns="http://schemas.microsoft.com/office/infopath/2007/PartnerControls"/>
    </lcf76f155ced4ddcb4097134ff3c332f>
    <TaxCatchAll xmlns="b6df9a54-876e-4b9c-822f-d1470c5a50dc" xsi:nil="true"/>
  </documentManagement>
</p:properties>
</file>

<file path=customXml/itemProps1.xml><?xml version="1.0" encoding="utf-8"?>
<ds:datastoreItem xmlns:ds="http://schemas.openxmlformats.org/officeDocument/2006/customXml" ds:itemID="{0C59C485-4845-45FC-A772-64388BBBB1C2}"/>
</file>

<file path=customXml/itemProps2.xml><?xml version="1.0" encoding="utf-8"?>
<ds:datastoreItem xmlns:ds="http://schemas.openxmlformats.org/officeDocument/2006/customXml" ds:itemID="{BF389928-4F98-4ACD-A332-9F6E8FB77D83}"/>
</file>

<file path=customXml/itemProps3.xml><?xml version="1.0" encoding="utf-8"?>
<ds:datastoreItem xmlns:ds="http://schemas.openxmlformats.org/officeDocument/2006/customXml" ds:itemID="{D4BDC782-4BD5-4D8D-8A3B-9FABAEAB39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LUAN SILVA THOMAS</dc:creator>
  <cp:keywords/>
  <dc:description/>
  <cp:lastModifiedBy>Arthur Brito Lucio</cp:lastModifiedBy>
  <cp:revision/>
  <dcterms:created xsi:type="dcterms:W3CDTF">2021-05-12T16:56:02Z</dcterms:created>
  <dcterms:modified xsi:type="dcterms:W3CDTF">2026-06-18T16:03:38Z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0x010100C62942F1796FC44EBEC94A4AF4AD0416</vt:lpwstr>
  </property>
  <property fmtid="{D5CDD505-2E9C-101B-9397-08002B2CF9AE}" pid="3" name="Order">
    <vt:r8>14375600</vt:r8>
  </property>
  <property fmtid="{D5CDD505-2E9C-101B-9397-08002B2CF9AE}" pid="4" name="MediaServiceImageTags">
    <vt:lpwstr/>
  </property>
</Properties>
</file>